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 Moustafa\OneDrive\Desktop\"/>
    </mc:Choice>
  </mc:AlternateContent>
  <xr:revisionPtr revIDLastSave="0" documentId="13_ncr:8001_{BCF27287-7580-45D2-988A-9B33DFFC62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 Data" sheetId="1" r:id="rId1"/>
    <sheet name="Lists" sheetId="2" r:id="rId2"/>
    <sheet name="SI Codes" sheetId="4" r:id="rId3"/>
  </sheets>
  <definedNames>
    <definedName name="_xlnm._FilterDatabase" localSheetId="0" hidden="1">'Employee Data'!$A$1:$AY$1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B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G3" i="2"/>
  <c r="I20" i="1" l="1"/>
  <c r="I33" i="1"/>
  <c r="I4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I3" i="1"/>
  <c r="A2" i="1"/>
  <c r="I45" i="1" l="1"/>
  <c r="I32" i="1"/>
  <c r="I21" i="1"/>
  <c r="I42" i="1"/>
  <c r="I13" i="1"/>
  <c r="I30" i="1"/>
  <c r="I29" i="1"/>
  <c r="I14" i="1"/>
  <c r="I25" i="1"/>
  <c r="I48" i="1"/>
  <c r="I36" i="1"/>
  <c r="I24" i="1"/>
  <c r="I12" i="1"/>
  <c r="I31" i="1"/>
  <c r="I41" i="1"/>
  <c r="I50" i="1"/>
  <c r="I38" i="1"/>
  <c r="I49" i="1"/>
  <c r="I47" i="1"/>
  <c r="I35" i="1"/>
  <c r="I23" i="1"/>
  <c r="I11" i="1"/>
  <c r="I18" i="1"/>
  <c r="I17" i="1"/>
  <c r="I26" i="1"/>
  <c r="I37" i="1"/>
  <c r="I46" i="1"/>
  <c r="I34" i="1"/>
  <c r="I22" i="1"/>
  <c r="I10" i="1"/>
  <c r="I9" i="1"/>
  <c r="I8" i="1"/>
  <c r="I19" i="1"/>
  <c r="I7" i="1"/>
  <c r="I6" i="1"/>
  <c r="I43" i="1"/>
  <c r="I5" i="1"/>
  <c r="I4" i="1"/>
  <c r="I40" i="1"/>
  <c r="I28" i="1"/>
  <c r="I16" i="1"/>
  <c r="I51" i="1"/>
  <c r="I39" i="1"/>
  <c r="I27" i="1"/>
  <c r="I15" i="1"/>
  <c r="AU51" i="1"/>
  <c r="AA51" i="1"/>
  <c r="AB51" i="1" s="1"/>
  <c r="R51" i="1"/>
  <c r="AU50" i="1"/>
  <c r="AA50" i="1"/>
  <c r="AB50" i="1" s="1"/>
  <c r="R50" i="1"/>
  <c r="AU49" i="1"/>
  <c r="AA49" i="1"/>
  <c r="AB49" i="1" s="1"/>
  <c r="R49" i="1"/>
  <c r="AU48" i="1"/>
  <c r="AA48" i="1"/>
  <c r="AB48" i="1" s="1"/>
  <c r="R48" i="1"/>
  <c r="AU47" i="1"/>
  <c r="AA47" i="1"/>
  <c r="AB47" i="1" s="1"/>
  <c r="R47" i="1"/>
  <c r="AU46" i="1"/>
  <c r="AA46" i="1"/>
  <c r="AB46" i="1" s="1"/>
  <c r="R46" i="1"/>
  <c r="AU45" i="1"/>
  <c r="AA45" i="1"/>
  <c r="AB45" i="1" s="1"/>
  <c r="R45" i="1"/>
  <c r="AU44" i="1"/>
  <c r="AA44" i="1"/>
  <c r="AB44" i="1" s="1"/>
  <c r="R44" i="1"/>
  <c r="AU43" i="1"/>
  <c r="AA43" i="1"/>
  <c r="AB43" i="1" s="1"/>
  <c r="R43" i="1"/>
  <c r="AU42" i="1"/>
  <c r="AA42" i="1"/>
  <c r="AB42" i="1" s="1"/>
  <c r="R42" i="1"/>
  <c r="AU41" i="1"/>
  <c r="AA41" i="1"/>
  <c r="AB41" i="1" s="1"/>
  <c r="R41" i="1"/>
  <c r="AU40" i="1"/>
  <c r="AA40" i="1"/>
  <c r="AB40" i="1" s="1"/>
  <c r="R40" i="1"/>
  <c r="AU39" i="1"/>
  <c r="AA39" i="1"/>
  <c r="AB39" i="1" s="1"/>
  <c r="R39" i="1"/>
  <c r="AU38" i="1"/>
  <c r="AA38" i="1"/>
  <c r="AB38" i="1" s="1"/>
  <c r="R38" i="1"/>
  <c r="AU37" i="1"/>
  <c r="AA37" i="1"/>
  <c r="AB37" i="1" s="1"/>
  <c r="R37" i="1"/>
  <c r="AU36" i="1"/>
  <c r="AA36" i="1"/>
  <c r="AB36" i="1" s="1"/>
  <c r="R36" i="1"/>
  <c r="AU35" i="1"/>
  <c r="AA35" i="1"/>
  <c r="AB35" i="1" s="1"/>
  <c r="R35" i="1"/>
  <c r="AU34" i="1"/>
  <c r="AA34" i="1"/>
  <c r="AB34" i="1" s="1"/>
  <c r="R34" i="1"/>
  <c r="AU33" i="1"/>
  <c r="AA33" i="1"/>
  <c r="AB33" i="1" s="1"/>
  <c r="R33" i="1"/>
  <c r="AU32" i="1"/>
  <c r="AA32" i="1"/>
  <c r="AB32" i="1" s="1"/>
  <c r="R32" i="1"/>
  <c r="AU31" i="1"/>
  <c r="AA31" i="1"/>
  <c r="AB31" i="1" s="1"/>
  <c r="R31" i="1"/>
  <c r="AU30" i="1"/>
  <c r="AA30" i="1"/>
  <c r="AB30" i="1" s="1"/>
  <c r="R30" i="1"/>
  <c r="AU29" i="1"/>
  <c r="AA29" i="1"/>
  <c r="AB29" i="1" s="1"/>
  <c r="R29" i="1"/>
  <c r="AU28" i="1"/>
  <c r="AA28" i="1"/>
  <c r="AB28" i="1" s="1"/>
  <c r="R28" i="1"/>
  <c r="AU27" i="1"/>
  <c r="AA27" i="1"/>
  <c r="AB27" i="1" s="1"/>
  <c r="R27" i="1"/>
  <c r="AU26" i="1"/>
  <c r="AA26" i="1"/>
  <c r="AB26" i="1" s="1"/>
  <c r="R26" i="1"/>
  <c r="AU25" i="1"/>
  <c r="AA25" i="1"/>
  <c r="AB25" i="1" s="1"/>
  <c r="R25" i="1"/>
  <c r="AU24" i="1"/>
  <c r="AA24" i="1"/>
  <c r="AB24" i="1" s="1"/>
  <c r="R24" i="1"/>
  <c r="AU23" i="1"/>
  <c r="AA23" i="1"/>
  <c r="AB23" i="1" s="1"/>
  <c r="R23" i="1"/>
  <c r="AU22" i="1"/>
  <c r="AA22" i="1"/>
  <c r="AB22" i="1" s="1"/>
  <c r="R22" i="1"/>
  <c r="AU21" i="1"/>
  <c r="AA21" i="1"/>
  <c r="AB21" i="1" s="1"/>
  <c r="R21" i="1"/>
  <c r="AU20" i="1"/>
  <c r="AA20" i="1"/>
  <c r="AB20" i="1" s="1"/>
  <c r="R20" i="1"/>
  <c r="AU19" i="1"/>
  <c r="AA19" i="1"/>
  <c r="AB19" i="1" s="1"/>
  <c r="R19" i="1"/>
  <c r="AU18" i="1"/>
  <c r="AA18" i="1"/>
  <c r="AB18" i="1" s="1"/>
  <c r="R18" i="1"/>
  <c r="AU17" i="1"/>
  <c r="AA17" i="1"/>
  <c r="AB17" i="1" s="1"/>
  <c r="R17" i="1"/>
  <c r="AU16" i="1"/>
  <c r="AA16" i="1"/>
  <c r="AB16" i="1" s="1"/>
  <c r="R16" i="1"/>
  <c r="AU15" i="1"/>
  <c r="AA15" i="1"/>
  <c r="AB15" i="1" s="1"/>
  <c r="R15" i="1"/>
  <c r="AU14" i="1"/>
  <c r="AA14" i="1"/>
  <c r="AB14" i="1" s="1"/>
  <c r="R14" i="1"/>
  <c r="AU13" i="1"/>
  <c r="AA13" i="1"/>
  <c r="AB13" i="1" s="1"/>
  <c r="R13" i="1"/>
  <c r="AU12" i="1"/>
  <c r="AA12" i="1"/>
  <c r="AB12" i="1" s="1"/>
  <c r="R12" i="1"/>
  <c r="AU11" i="1"/>
  <c r="AA11" i="1"/>
  <c r="AB11" i="1" s="1"/>
  <c r="R11" i="1"/>
  <c r="AU10" i="1"/>
  <c r="AA10" i="1"/>
  <c r="AB10" i="1" s="1"/>
  <c r="R10" i="1"/>
  <c r="AU9" i="1"/>
  <c r="AA9" i="1"/>
  <c r="AB9" i="1" s="1"/>
  <c r="R9" i="1"/>
  <c r="AU8" i="1"/>
  <c r="AA8" i="1"/>
  <c r="R8" i="1"/>
  <c r="AU7" i="1"/>
  <c r="AA7" i="1"/>
  <c r="AB7" i="1" s="1"/>
  <c r="R7" i="1"/>
  <c r="AU6" i="1"/>
  <c r="AB6" i="1"/>
  <c r="R6" i="1"/>
  <c r="AU5" i="1"/>
  <c r="AA5" i="1"/>
  <c r="AB5" i="1" s="1"/>
  <c r="R5" i="1"/>
  <c r="AU4" i="1"/>
  <c r="AA4" i="1"/>
  <c r="AB4" i="1" s="1"/>
  <c r="R4" i="1"/>
  <c r="AU3" i="1"/>
  <c r="AA3" i="1"/>
  <c r="AB3" i="1" s="1"/>
  <c r="R3" i="1"/>
  <c r="AU2" i="1"/>
  <c r="AA2" i="1"/>
  <c r="AB2" i="1" s="1"/>
  <c r="R2" i="1"/>
  <c r="I2" i="1"/>
</calcChain>
</file>

<file path=xl/sharedStrings.xml><?xml version="1.0" encoding="utf-8"?>
<sst xmlns="http://schemas.openxmlformats.org/spreadsheetml/2006/main" count="3395" uniqueCount="3216">
  <si>
    <t>Code</t>
  </si>
  <si>
    <t>Employee Name in English</t>
  </si>
  <si>
    <t>Employee Name in Arabic</t>
  </si>
  <si>
    <t>Job title in Arabic</t>
  </si>
  <si>
    <t>Job title in English</t>
  </si>
  <si>
    <t>Social Insurance Title</t>
  </si>
  <si>
    <t>Department</t>
  </si>
  <si>
    <t>Site</t>
  </si>
  <si>
    <t>Overtime</t>
  </si>
  <si>
    <t>Bus Route</t>
  </si>
  <si>
    <t>Hiring Date</t>
  </si>
  <si>
    <t>Work Period</t>
  </si>
  <si>
    <t>Mobile No.</t>
  </si>
  <si>
    <t>Sec. Mobile No.</t>
  </si>
  <si>
    <t>SI No.</t>
  </si>
  <si>
    <t>SI Status</t>
  </si>
  <si>
    <t>SI Basic Wage</t>
  </si>
  <si>
    <t>SI Gross Wage</t>
  </si>
  <si>
    <t>ID No.</t>
  </si>
  <si>
    <t>Age</t>
  </si>
  <si>
    <t>Gender</t>
  </si>
  <si>
    <t>Religion</t>
  </si>
  <si>
    <t>Qualification Degree</t>
  </si>
  <si>
    <t>ID Copy</t>
  </si>
  <si>
    <t>6 Personal Photos</t>
  </si>
  <si>
    <t>Contract</t>
  </si>
  <si>
    <t>File Status</t>
  </si>
  <si>
    <t>Comments</t>
  </si>
  <si>
    <t>Resignation Reason</t>
  </si>
  <si>
    <t>Yes</t>
  </si>
  <si>
    <t>No</t>
  </si>
  <si>
    <t>WorkingStatus</t>
  </si>
  <si>
    <t>On-Board</t>
  </si>
  <si>
    <t>Notice Period</t>
  </si>
  <si>
    <t>Resigned</t>
  </si>
  <si>
    <t>Absent</t>
  </si>
  <si>
    <t>Court Case</t>
  </si>
  <si>
    <t>Dead</t>
  </si>
  <si>
    <t>Admin</t>
  </si>
  <si>
    <t>Factory 1</t>
  </si>
  <si>
    <t>Factory 2</t>
  </si>
  <si>
    <t>WeeklyDaysOff</t>
  </si>
  <si>
    <t>Fridays Only</t>
  </si>
  <si>
    <t>Saturdays and Fridays</t>
  </si>
  <si>
    <t>BusRoute</t>
  </si>
  <si>
    <t>October</t>
  </si>
  <si>
    <t>Giza</t>
  </si>
  <si>
    <t>Cairo</t>
  </si>
  <si>
    <t>Male</t>
  </si>
  <si>
    <t>Female</t>
  </si>
  <si>
    <t>Single</t>
  </si>
  <si>
    <t>Married</t>
  </si>
  <si>
    <t>MilitaryService</t>
  </si>
  <si>
    <t>Postponed</t>
  </si>
  <si>
    <t>Exempted</t>
  </si>
  <si>
    <t>Served</t>
  </si>
  <si>
    <t>Muslim</t>
  </si>
  <si>
    <t>Christian</t>
  </si>
  <si>
    <t>Sector</t>
  </si>
  <si>
    <t>CEO</t>
  </si>
  <si>
    <t>Legal Affairs</t>
  </si>
  <si>
    <t>Production</t>
  </si>
  <si>
    <t>Operations</t>
  </si>
  <si>
    <t>Quality</t>
  </si>
  <si>
    <t>Maintenance</t>
  </si>
  <si>
    <t>Engineering</t>
  </si>
  <si>
    <t>Tendering</t>
  </si>
  <si>
    <t>R&amp;D</t>
  </si>
  <si>
    <t>Validation</t>
  </si>
  <si>
    <t>Finance</t>
  </si>
  <si>
    <t>Collection</t>
  </si>
  <si>
    <t>Warehouse</t>
  </si>
  <si>
    <t>Foreign Purchasing</t>
  </si>
  <si>
    <t>Supply Chain</t>
  </si>
  <si>
    <t>Local Purchasing</t>
  </si>
  <si>
    <t>Sales</t>
  </si>
  <si>
    <t>Buffet</t>
  </si>
  <si>
    <t>Service</t>
  </si>
  <si>
    <t>Security</t>
  </si>
  <si>
    <t>Fleet</t>
  </si>
  <si>
    <t>Public Affairs</t>
  </si>
  <si>
    <t>Job Code</t>
  </si>
  <si>
    <t>Title</t>
  </si>
  <si>
    <t>No.</t>
  </si>
  <si>
    <t>Ahmed Moustafa Mohamed</t>
  </si>
  <si>
    <t>احمد مصطفى محمد حسن</t>
  </si>
  <si>
    <t>العضو المنتدب</t>
  </si>
  <si>
    <t>Islam Said Elsayed</t>
  </si>
  <si>
    <t xml:space="preserve">اسلام سعيد السيد اسماعيل </t>
  </si>
  <si>
    <t>مدير ادارة الابحاث والتطوير</t>
  </si>
  <si>
    <t>Ahmed Adel Ahmed</t>
  </si>
  <si>
    <t>احمد عادل عبدالعزيز طه</t>
  </si>
  <si>
    <t>اخصائي موارد بشرية</t>
  </si>
  <si>
    <t>Doaa Ramadan Mohamed</t>
  </si>
  <si>
    <t>دعاء رمضان محمد احمد</t>
  </si>
  <si>
    <t>مدير المشتريات</t>
  </si>
  <si>
    <t>Naama Ebrahim Ahmed</t>
  </si>
  <si>
    <t>نعمة ابراهيم احمد</t>
  </si>
  <si>
    <t>عاملة بوفيه</t>
  </si>
  <si>
    <t>Karim Magdy Attia</t>
  </si>
  <si>
    <t xml:space="preserve">كريم مجدي عطية </t>
  </si>
  <si>
    <t xml:space="preserve">مشرف أمن </t>
  </si>
  <si>
    <t>Antabah Lesha Fahmy</t>
  </si>
  <si>
    <t xml:space="preserve">انتباه ليشع فهمي </t>
  </si>
  <si>
    <t xml:space="preserve">عاملة خدمات </t>
  </si>
  <si>
    <t>Nesma Abo Elkhier</t>
  </si>
  <si>
    <t>نسمة ابو الخير علواني</t>
  </si>
  <si>
    <t>مدير الجودة</t>
  </si>
  <si>
    <t>Duha Elsayed Ali</t>
  </si>
  <si>
    <t>ضحى السيد علي السيد</t>
  </si>
  <si>
    <t>محاسب عام</t>
  </si>
  <si>
    <t>Mahmoud Sayed Ebrahim</t>
  </si>
  <si>
    <t>محمود سيد ابراهيم</t>
  </si>
  <si>
    <t>فني صيانة</t>
  </si>
  <si>
    <t>Abdalla Nabil</t>
  </si>
  <si>
    <t>عبدالله نبيل فضل</t>
  </si>
  <si>
    <t>فني انتاج</t>
  </si>
  <si>
    <t>Abdelrahman Esam</t>
  </si>
  <si>
    <t>عبدالرحمن عصام لطفي</t>
  </si>
  <si>
    <t>Ahmed Youssef</t>
  </si>
  <si>
    <t>احمد يوسف عبدالعظيم</t>
  </si>
  <si>
    <t xml:space="preserve">فني انتاج </t>
  </si>
  <si>
    <t>Ahmed Bheg</t>
  </si>
  <si>
    <t>احمد بهيج رشدي</t>
  </si>
  <si>
    <t>عامل خدمات</t>
  </si>
  <si>
    <t>Abdelrahman Abdo</t>
  </si>
  <si>
    <t>عبدالرحمن عبده رمضان</t>
  </si>
  <si>
    <t>مندوب</t>
  </si>
  <si>
    <t>مهندس تكنولوجيا معلومات</t>
  </si>
  <si>
    <t>R&amp;D Manager</t>
  </si>
  <si>
    <t>HR Specialist</t>
  </si>
  <si>
    <t>Supply Chain Manager</t>
  </si>
  <si>
    <t>Office Girl</t>
  </si>
  <si>
    <t>Security Supervisor</t>
  </si>
  <si>
    <t>Clean Service</t>
  </si>
  <si>
    <t>Quality Manager</t>
  </si>
  <si>
    <t>Financial Specialist</t>
  </si>
  <si>
    <t>Maintanance Technicion</t>
  </si>
  <si>
    <t>Production Operator</t>
  </si>
  <si>
    <t>IT Engineer</t>
  </si>
  <si>
    <t>Representative</t>
  </si>
  <si>
    <t>CNC فنى تشغيل ماكينات</t>
  </si>
  <si>
    <t>دكتور كيميائى</t>
  </si>
  <si>
    <t>كيميائي عام</t>
  </si>
  <si>
    <t>كيميائي متخصص  في الكيمياء العضويه</t>
  </si>
  <si>
    <t>كيميائي متخصص  في كمياء غير عضويه</t>
  </si>
  <si>
    <t>كميائي متخصص  في كمياء طبيعيه</t>
  </si>
  <si>
    <t>كميائي متخصص  في التحاليل</t>
  </si>
  <si>
    <t>الكميائيون الخرون</t>
  </si>
  <si>
    <t>جيوفيزيقى</t>
  </si>
  <si>
    <t>فيزيائي عام</t>
  </si>
  <si>
    <t>فيزيائي متخصص  في الميكانيكا</t>
  </si>
  <si>
    <t>فيزيائي متخصص  في الحراره</t>
  </si>
  <si>
    <t>فيزيائي متخصص  في الضوء</t>
  </si>
  <si>
    <t>فيزيائي متخصص  في الصوت</t>
  </si>
  <si>
    <t>فيزيائي متخصص  في المغناطسيه</t>
  </si>
  <si>
    <t>فيزيائي متخصص  في الكترونيات</t>
  </si>
  <si>
    <t>فيزيائي متخصص  في الذره</t>
  </si>
  <si>
    <t>الفيزيائيون - الخرون</t>
  </si>
  <si>
    <t>اخصائي في الفيزياء الرضيه</t>
  </si>
  <si>
    <t>اخصائي في الجيولوجيا</t>
  </si>
  <si>
    <t>اخصائي في الرصاد الجويه</t>
  </si>
  <si>
    <t>اخصائي في الفلك</t>
  </si>
  <si>
    <t>الخصائيون في علوم الطبيعه</t>
  </si>
  <si>
    <t>فني كميائي</t>
  </si>
  <si>
    <t>فني فيزيائي</t>
  </si>
  <si>
    <t>فني جيولوجي</t>
  </si>
  <si>
    <t>جيولوجى</t>
  </si>
  <si>
    <t>الفنيون في علوم الطبيعه</t>
  </si>
  <si>
    <t xml:space="preserve">مهندس </t>
  </si>
  <si>
    <t>مهندس  استشارى</t>
  </si>
  <si>
    <t>كبير مهندسـين</t>
  </si>
  <si>
    <t>كبير مهندسين صيانة وقائية</t>
  </si>
  <si>
    <t>مهندس  معمارى</t>
  </si>
  <si>
    <t>مهندس  تخطيط مدن</t>
  </si>
  <si>
    <t>مهندس  مدني عام</t>
  </si>
  <si>
    <t>مهندس موقع</t>
  </si>
  <si>
    <t>مهندس تنفيذى</t>
  </si>
  <si>
    <t>مهندس مكتب فنى مدنى</t>
  </si>
  <si>
    <t>مهندس  انشاءات</t>
  </si>
  <si>
    <t>مهندس  طرق</t>
  </si>
  <si>
    <t>مهندس  انشاءات مطارات</t>
  </si>
  <si>
    <t>مهندس  انشاءات سكك حديديه</t>
  </si>
  <si>
    <t>مهندس  انشاءات كباري</t>
  </si>
  <si>
    <t>مهندس  انشاءات صحيه</t>
  </si>
  <si>
    <t>مهندس  ري وهيدروليكا</t>
  </si>
  <si>
    <t>مهندس  ميكانيكا التربه</t>
  </si>
  <si>
    <t>مهندس مرافق</t>
  </si>
  <si>
    <t>مهندسون مدنيون اخرون</t>
  </si>
  <si>
    <t>مهندس  كهرباء عام</t>
  </si>
  <si>
    <t>مهندس  الكتروني عام</t>
  </si>
  <si>
    <t>مهندس  توليد قوي كهربائيه</t>
  </si>
  <si>
    <t>مهندس  توزيع ونقل القوي الكهربائيه</t>
  </si>
  <si>
    <t>مهندس  معدات كهربائيه</t>
  </si>
  <si>
    <t>مهندس  اتصالت</t>
  </si>
  <si>
    <t>مهندس  حاسب الى - كمبيوتر</t>
  </si>
  <si>
    <t>مهندس  دعم تقنى</t>
  </si>
  <si>
    <t>مهندس  دعم فنى</t>
  </si>
  <si>
    <t>مهندس  اول برمجيات</t>
  </si>
  <si>
    <t>مهندس  شبكات - معلومات</t>
  </si>
  <si>
    <t>مهندس اقمار صناعيه</t>
  </si>
  <si>
    <t>مهندسون كهربائيون اخرون</t>
  </si>
  <si>
    <t>مهندس  ميكانيكا عام</t>
  </si>
  <si>
    <t>مهندس  ميكانيكا قوى</t>
  </si>
  <si>
    <t>مهندس  ميكانيكا عدد والت</t>
  </si>
  <si>
    <t>مهندس  ميكانيكا ماكينات وموتورات</t>
  </si>
  <si>
    <t>مهندس  بحري ماكينات بحريه</t>
  </si>
  <si>
    <t>مهندس  بناء سفن</t>
  </si>
  <si>
    <t>مهندس  طيران</t>
  </si>
  <si>
    <t>مهندس  ميكانيكي مركبات</t>
  </si>
  <si>
    <t>مهندس تحكم</t>
  </si>
  <si>
    <t>مهندس  ميكانيكي الت الغزل والنسج</t>
  </si>
  <si>
    <t>مهندس انتاج</t>
  </si>
  <si>
    <t>مهندس  تكييف وتدفئه</t>
  </si>
  <si>
    <t>مهندس  ذره</t>
  </si>
  <si>
    <t>مهندس  صيانة</t>
  </si>
  <si>
    <t>مهندس صيانه الطائرات</t>
  </si>
  <si>
    <t>مهندس  جودة</t>
  </si>
  <si>
    <t>مهندس اختبارات جودة</t>
  </si>
  <si>
    <t>مهندس  مسئول</t>
  </si>
  <si>
    <t>مهندس تطوير منتج</t>
  </si>
  <si>
    <t>مهندس تدريب فنى</t>
  </si>
  <si>
    <t>مهندس سلمة وصحة مهنية</t>
  </si>
  <si>
    <t>مهندس  صناعى</t>
  </si>
  <si>
    <t>مهندس مبيعات</t>
  </si>
  <si>
    <t>مهندس مشتريات</t>
  </si>
  <si>
    <t>مهندس  نظم</t>
  </si>
  <si>
    <t>مهندسون ميكانيكيون اخرون</t>
  </si>
  <si>
    <t>مهندس  كميائي عام</t>
  </si>
  <si>
    <t>مهندس  كيميائي بترول</t>
  </si>
  <si>
    <t>مهندسون كميائيون اخرون</t>
  </si>
  <si>
    <t>مهندس  فلزات استخراجيه</t>
  </si>
  <si>
    <t>مهندس  فلزات طبيعيه</t>
  </si>
  <si>
    <t>مهندسو الفلزات الخرون</t>
  </si>
  <si>
    <t>مهندس افران</t>
  </si>
  <si>
    <t>مهندس  تعدين او مناجم عام</t>
  </si>
  <si>
    <t>مهندس  مناجم فحم</t>
  </si>
  <si>
    <t>مهندس  مناجم معادن</t>
  </si>
  <si>
    <t>مهندس صب مستمر</t>
  </si>
  <si>
    <t>مهندس  بترول وغاز طبيعي</t>
  </si>
  <si>
    <t>مهندسو التعدين الخرون</t>
  </si>
  <si>
    <t>مهندس درفلة معادن</t>
  </si>
  <si>
    <t>مهندس  كفاءه صناعيه</t>
  </si>
  <si>
    <t>مهندس  طرق النتاج الصناعي</t>
  </si>
  <si>
    <t>مهندس  دراسه الوقت والحركه</t>
  </si>
  <si>
    <t>تكنولوجى رقابة جودة</t>
  </si>
  <si>
    <t>تكنولوجى كهرباء</t>
  </si>
  <si>
    <t>المهندسون الصناعيون الخرون</t>
  </si>
  <si>
    <t>مهندس  صناعه زجاج وخزف</t>
  </si>
  <si>
    <t>مهندس  ماكينات زراعيه</t>
  </si>
  <si>
    <t>مهندس  اخصائي صناعات الغذيه</t>
  </si>
  <si>
    <t>مهندس  تخطيط حركه مرور</t>
  </si>
  <si>
    <t>مهندس  امن صناعي</t>
  </si>
  <si>
    <t>مهندس  أجهزه طبيه</t>
  </si>
  <si>
    <t>مهندس  زراعى</t>
  </si>
  <si>
    <t>المهندسون الخرون</t>
  </si>
  <si>
    <t>مهندس  ديكور</t>
  </si>
  <si>
    <t>مهندس  مصمم ازياء</t>
  </si>
  <si>
    <t>مهندس  اخصائي مساحه عامه</t>
  </si>
  <si>
    <t>مهندس  اخصائي مساحه ارضيه</t>
  </si>
  <si>
    <t>مهندس  اخصائي مساحه مناجم</t>
  </si>
  <si>
    <t>مهندس  اخصائي مساحه بحريه</t>
  </si>
  <si>
    <t>مهندس  اخصائي مساحه جويه</t>
  </si>
  <si>
    <t>الخصائيون الخرون</t>
  </si>
  <si>
    <t>اخصائى صيانة</t>
  </si>
  <si>
    <t>اخصائى صيانة الت تصوير مستندات</t>
  </si>
  <si>
    <t>اخصائى ميكانيكا</t>
  </si>
  <si>
    <t>رسام عام</t>
  </si>
  <si>
    <t>رسام هندسـى</t>
  </si>
  <si>
    <t>رئيس قسم الرسم الهندسى</t>
  </si>
  <si>
    <t>رسام ميكانيكي</t>
  </si>
  <si>
    <t>رسام كهربائي</t>
  </si>
  <si>
    <t>رسام انشائي - هندسه مدنيه</t>
  </si>
  <si>
    <t>رسام معماري</t>
  </si>
  <si>
    <t xml:space="preserve">رسام جيولوجي - طبقات الرض </t>
  </si>
  <si>
    <t>رسام خرائط</t>
  </si>
  <si>
    <t>رسام نشرات فنيه - كتالوجات</t>
  </si>
  <si>
    <t>رسام علي الحجر</t>
  </si>
  <si>
    <t>الرسامون - الخرون</t>
  </si>
  <si>
    <t xml:space="preserve">مساعد مهندس </t>
  </si>
  <si>
    <t>فني هندسه مدنيه - عام</t>
  </si>
  <si>
    <t>فني انشاء طرق</t>
  </si>
  <si>
    <t>فني حساب مسطحات ومكعبات</t>
  </si>
  <si>
    <t>فني في المساحه - مساح</t>
  </si>
  <si>
    <t>فني انشاءات مدنيه</t>
  </si>
  <si>
    <t>فنى تشغيل اوناش علوية</t>
  </si>
  <si>
    <t>فنى مصاعد</t>
  </si>
  <si>
    <t>فني انشاءات معدنيه</t>
  </si>
  <si>
    <t>فني ري وصرف</t>
  </si>
  <si>
    <t>مندوب طلمبات</t>
  </si>
  <si>
    <t>فنى مختبر مياه</t>
  </si>
  <si>
    <t>فني مياه جوفيه</t>
  </si>
  <si>
    <t>فني اجهزة معالجة مياه</t>
  </si>
  <si>
    <t>فني معماري</t>
  </si>
  <si>
    <t>مشغل كسارة احجار</t>
  </si>
  <si>
    <t>مشرف هندسة مدنيه</t>
  </si>
  <si>
    <t>مشرف هندسى</t>
  </si>
  <si>
    <t>فنيون في الهندسه المدنيه</t>
  </si>
  <si>
    <t>فنـى ميكانيكى</t>
  </si>
  <si>
    <t>فنى اول ميكانيكا</t>
  </si>
  <si>
    <t>فنى اول كهرباء</t>
  </si>
  <si>
    <t>فني كهربائي - عام</t>
  </si>
  <si>
    <t>فنى براد عام</t>
  </si>
  <si>
    <t>فني الكتروني - عام</t>
  </si>
  <si>
    <t>فنى مختبر ميكانيكا</t>
  </si>
  <si>
    <t>فنى ميكانيكا</t>
  </si>
  <si>
    <t>فنى هيدروليك</t>
  </si>
  <si>
    <t>فني معدات كهربائيه</t>
  </si>
  <si>
    <t>فني معدات تصوير فوتوغرافي</t>
  </si>
  <si>
    <t>فنى كاميرا</t>
  </si>
  <si>
    <t>فنى تصوير</t>
  </si>
  <si>
    <t>فني صيانة أجهزة بترولية</t>
  </si>
  <si>
    <t>فني اجهزه كهربائيه</t>
  </si>
  <si>
    <t>فنى كنترول</t>
  </si>
  <si>
    <t>فنى انتاج</t>
  </si>
  <si>
    <t>فنى تنفيذ</t>
  </si>
  <si>
    <t>فنى انتاج اكريليك</t>
  </si>
  <si>
    <t>فنى صيانه كهربائية</t>
  </si>
  <si>
    <t>فني انتاج كابلت</t>
  </si>
  <si>
    <t>فنى متابعة انتاج</t>
  </si>
  <si>
    <t>فنى تعبئه</t>
  </si>
  <si>
    <t>اخصائى تغليف</t>
  </si>
  <si>
    <t>فنى تغليف</t>
  </si>
  <si>
    <t>فني اتصالت</t>
  </si>
  <si>
    <t>فنى اقمار صناعيه</t>
  </si>
  <si>
    <t>فنى هوائيات</t>
  </si>
  <si>
    <t>فني اصلح قاطرات كهربائيه</t>
  </si>
  <si>
    <t>فني كهرباء سفن</t>
  </si>
  <si>
    <t xml:space="preserve">فني اجهزه قياس </t>
  </si>
  <si>
    <t>فنى تشغيل غرف تحكم</t>
  </si>
  <si>
    <t>فنى تشغيل معدات</t>
  </si>
  <si>
    <t>فنى تشغيل معدات ثقيله</t>
  </si>
  <si>
    <t>فنى درفلة معادن</t>
  </si>
  <si>
    <t>فنى تشكيل معادن</t>
  </si>
  <si>
    <t>فني معدات الكترونيه عام</t>
  </si>
  <si>
    <t>فني تليفزيون</t>
  </si>
  <si>
    <t>فني الت احصاء الكترونيه</t>
  </si>
  <si>
    <t>فنيون هندسه كهربائيه</t>
  </si>
  <si>
    <t>فني هندسه ميكانيكيه - عام</t>
  </si>
  <si>
    <t>فني اجهزه بصريه ميكانيكيه</t>
  </si>
  <si>
    <t>فني هندسه ميكانيكيه</t>
  </si>
  <si>
    <t>فنى لحام بالكسجين والكهرباء</t>
  </si>
  <si>
    <t>فنى لحام</t>
  </si>
  <si>
    <t>فنى سحب معادن</t>
  </si>
  <si>
    <t>فنى حراريات</t>
  </si>
  <si>
    <t>فنى سباك معادن</t>
  </si>
  <si>
    <t>فني معالجه حراريه</t>
  </si>
  <si>
    <t>فنى غليات</t>
  </si>
  <si>
    <t>مندوب ضواغط</t>
  </si>
  <si>
    <t>فني هندسه الطيران</t>
  </si>
  <si>
    <t>فني فحص  مشغولت</t>
  </si>
  <si>
    <t>فني هندسه سيارات</t>
  </si>
  <si>
    <t>فنى تجميع سيارات</t>
  </si>
  <si>
    <t>فنى سمكرى سيارات</t>
  </si>
  <si>
    <t>فنى اطارات</t>
  </si>
  <si>
    <t>فنى محرك ديزل</t>
  </si>
  <si>
    <t>فني اصلح قاطرات ديزل</t>
  </si>
  <si>
    <t>معاين سيارات</t>
  </si>
  <si>
    <t>فنى ضبط زوايا سيارات</t>
  </si>
  <si>
    <t>فني ميكانيكي تهويه وتسخين وتبريد</t>
  </si>
  <si>
    <t>فني اصلح قاطرات بخاريه</t>
  </si>
  <si>
    <t>فني اصلح عربات سكه حديد</t>
  </si>
  <si>
    <t>فني سفن ديزل</t>
  </si>
  <si>
    <t>فني سفن بخاريه</t>
  </si>
  <si>
    <t>فني بناء سفن</t>
  </si>
  <si>
    <t>فنى تركيب واصلح مصاعد كهربائية</t>
  </si>
  <si>
    <t>فنيون هندسه ميكانيكيه</t>
  </si>
  <si>
    <t>فني في الهندسه الكيميائيه - عام</t>
  </si>
  <si>
    <t>فني انتاج مواد عضويه</t>
  </si>
  <si>
    <t>فني كيميائي في منتجات البترول</t>
  </si>
  <si>
    <t>فني انتاج خزف وصيني</t>
  </si>
  <si>
    <t>فني بلستيك</t>
  </si>
  <si>
    <t>فنى حقن بلستيك</t>
  </si>
  <si>
    <t>فني انتاج كاوتشوك</t>
  </si>
  <si>
    <t>فنى كاوتش وغسيل</t>
  </si>
  <si>
    <t xml:space="preserve">فنى كاوتش </t>
  </si>
  <si>
    <t>فني انتاج ورق</t>
  </si>
  <si>
    <t>فني تجليد</t>
  </si>
  <si>
    <t>فنى تجليد خياطة كتب</t>
  </si>
  <si>
    <t>فني دباغه جلود</t>
  </si>
  <si>
    <t>الفنيون في الهندسه الكيميائيه</t>
  </si>
  <si>
    <t>فني في هندسه الفلزات - عام</t>
  </si>
  <si>
    <t>فني في الفلزات الستخراجيه</t>
  </si>
  <si>
    <t>فني في الفلزات الطبيعيه</t>
  </si>
  <si>
    <t>الفنيون في هندسه المعادن</t>
  </si>
  <si>
    <t>فني في التعدين - عام</t>
  </si>
  <si>
    <t>فني في استخراج البترول</t>
  </si>
  <si>
    <t>الفنيون في التعدين - الخرون</t>
  </si>
  <si>
    <t>فنى فرن</t>
  </si>
  <si>
    <t>فني في هندسه النتاج</t>
  </si>
  <si>
    <t>فني في دراسه خطه النتاج</t>
  </si>
  <si>
    <t>فني غزل</t>
  </si>
  <si>
    <t>فني نسيج</t>
  </si>
  <si>
    <t>فني تجهيز وصباغه</t>
  </si>
  <si>
    <t>فني طباعه</t>
  </si>
  <si>
    <t xml:space="preserve">فنى نقاش </t>
  </si>
  <si>
    <t>فنى صنفرة وتلميع</t>
  </si>
  <si>
    <t>فنى محارة</t>
  </si>
  <si>
    <t>فــنى</t>
  </si>
  <si>
    <t>فنى حفـر</t>
  </si>
  <si>
    <t>فنى جير</t>
  </si>
  <si>
    <t>فنى صيانة</t>
  </si>
  <si>
    <t>فنى صيانة الت تصوير مستندات</t>
  </si>
  <si>
    <t>فنى صيانة ميكانيكية</t>
  </si>
  <si>
    <t>فنى الوميتال</t>
  </si>
  <si>
    <t>فنى تركيبات</t>
  </si>
  <si>
    <t>فنى المنيوم</t>
  </si>
  <si>
    <t>فنى صب مستمر</t>
  </si>
  <si>
    <t>فنى غاز صب</t>
  </si>
  <si>
    <t>مندوب قياس غاز صب</t>
  </si>
  <si>
    <t>فنى شئون بيئه</t>
  </si>
  <si>
    <t>فنى مرافق</t>
  </si>
  <si>
    <t>فنى مناولة خامات</t>
  </si>
  <si>
    <t>الفنيون في الهندسه الخرون</t>
  </si>
  <si>
    <t>طيار - عام</t>
  </si>
  <si>
    <t xml:space="preserve">طيار متخصص </t>
  </si>
  <si>
    <t>ملح جوي</t>
  </si>
  <si>
    <t>مهندس  جوي</t>
  </si>
  <si>
    <t>معلم طيران</t>
  </si>
  <si>
    <t>مراقب جوى</t>
  </si>
  <si>
    <t>ربان اعالى البحار</t>
  </si>
  <si>
    <t>قبطان</t>
  </si>
  <si>
    <t>قائد سفينه في المياه الداخليه</t>
  </si>
  <si>
    <t>ضابط ملحه بحريه</t>
  </si>
  <si>
    <t>مرشد</t>
  </si>
  <si>
    <t>خبير بحـرى</t>
  </si>
  <si>
    <t>مفتش بحرى</t>
  </si>
  <si>
    <t>اخصائى بحرى</t>
  </si>
  <si>
    <t>قائد باخرة</t>
  </si>
  <si>
    <t>مساعد قائد باخرة</t>
  </si>
  <si>
    <t>رصاد</t>
  </si>
  <si>
    <t>ضباط السطح علي السفن والمرشدين</t>
  </si>
  <si>
    <t>كبير مهندس  السفينه</t>
  </si>
  <si>
    <t>مهندس  سفينه</t>
  </si>
  <si>
    <t>مخطط سفن</t>
  </si>
  <si>
    <t>المهندسون علي السفن - الخرون</t>
  </si>
  <si>
    <t>اخصائي في علم الحياء</t>
  </si>
  <si>
    <t>اخصائي في علم النبات</t>
  </si>
  <si>
    <t>اخصائي في علم الحيوان</t>
  </si>
  <si>
    <t>اخصائي في علوم تربيه الحيوان</t>
  </si>
  <si>
    <t>الخصائيون في علوم الحياء</t>
  </si>
  <si>
    <t>اخصائى تحاليل طبية</t>
  </si>
  <si>
    <t>اخصائي تشريح</t>
  </si>
  <si>
    <t>اخصائي في الكيمياء الحيويه</t>
  </si>
  <si>
    <t>اخصائي في علم وظائف العضاء</t>
  </si>
  <si>
    <t>اخصائي ابحاث في علم البكتريا</t>
  </si>
  <si>
    <t>اخصائي في علم المراض  - بشري</t>
  </si>
  <si>
    <t>اخصائي في علم المراض  - بيطري</t>
  </si>
  <si>
    <t>اخصائي ابحاث في العلوم الصيدليه</t>
  </si>
  <si>
    <t>الخصائيون في علوم البكتريا</t>
  </si>
  <si>
    <t>دكتور ـ مهندس زراعى</t>
  </si>
  <si>
    <t xml:space="preserve">دكتور مهندس </t>
  </si>
  <si>
    <t>(مهندس  زراعي  (أخصائي في علوم الزراعه</t>
  </si>
  <si>
    <t>اخصائي في المحاصيل الحقليه</t>
  </si>
  <si>
    <t>اخصائي في الخضر</t>
  </si>
  <si>
    <t>اخصائي في الفاكهه</t>
  </si>
  <si>
    <t>اخصائي في نباتات الزينه</t>
  </si>
  <si>
    <t>اخصائي في امراض  النباتات</t>
  </si>
  <si>
    <t>اخصائي في الحشرات الزراعيه والفات</t>
  </si>
  <si>
    <t>اخصائي في علوم التربيه - اراضي</t>
  </si>
  <si>
    <t>اخصائى تربية دواجن</t>
  </si>
  <si>
    <t>اخصائي فرز القطن</t>
  </si>
  <si>
    <t>اخصائي في الرشاد الزراعي</t>
  </si>
  <si>
    <t>اخصائي في المحافظه علي نقاوه</t>
  </si>
  <si>
    <t>اخصائي في منتجات اللبان</t>
  </si>
  <si>
    <t>اخصائي في الصناعات الغذائيه</t>
  </si>
  <si>
    <t>الخصائيون في علوم الزراعه</t>
  </si>
  <si>
    <t>فني في علوم الحياء</t>
  </si>
  <si>
    <t>فني في العلوم الطبيه</t>
  </si>
  <si>
    <t>فني في علوم البكتريا والصيدله</t>
  </si>
  <si>
    <t>فني في علوم الزراعه</t>
  </si>
  <si>
    <t>فني في علوم تربيه الحيوان</t>
  </si>
  <si>
    <t>الفنيون في علوم الحياه</t>
  </si>
  <si>
    <t>مستشار الشئون الطبية</t>
  </si>
  <si>
    <t>استشارى</t>
  </si>
  <si>
    <t>استشارى تحاليل</t>
  </si>
  <si>
    <t>استشارى فيزياءالليزر والرنين المغناطيسى</t>
  </si>
  <si>
    <t>استشارى تربيه خاصة</t>
  </si>
  <si>
    <t>اخصائى تربية خاصة</t>
  </si>
  <si>
    <t>استشارى تخاطب</t>
  </si>
  <si>
    <t>استشارى نفسى</t>
  </si>
  <si>
    <t>استشارى نفسى اكلينيكى</t>
  </si>
  <si>
    <t>استشارى تدخل مبكر</t>
  </si>
  <si>
    <t>استشارى تأهيل لمتعددى العاقة</t>
  </si>
  <si>
    <t>استشارى لغة اشارة الصم</t>
  </si>
  <si>
    <t>استشارى تاهيل صم وبكم</t>
  </si>
  <si>
    <t>استشارى تنميةمهارات موهوبين</t>
  </si>
  <si>
    <t>استشارى تكنولوجيا تعليم ذوى العاقة</t>
  </si>
  <si>
    <t>استشارى في مجال ذوى الحتياجات</t>
  </si>
  <si>
    <t>استشارى تأهيل مهنى</t>
  </si>
  <si>
    <t>استشارى تربية فنيه</t>
  </si>
  <si>
    <t>استشارى اجهزة طبيه</t>
  </si>
  <si>
    <t>استشارى جهاز هضمى وكبد</t>
  </si>
  <si>
    <t>طبيب - ممارس  عام</t>
  </si>
  <si>
    <t>طبيب اخصائي امراض  باطنيه عامه</t>
  </si>
  <si>
    <t>طبيب اخصائي امراض  عصبيه وعقليه</t>
  </si>
  <si>
    <t>طبيب اخصائي امراض  اطفال</t>
  </si>
  <si>
    <t>طبيب اخصائي امراض  القلب والوعيه</t>
  </si>
  <si>
    <t>طبيب اخصائي جراحه عامه</t>
  </si>
  <si>
    <t>طبيب اخصائي جراحه مسالك بوليه</t>
  </si>
  <si>
    <t>طبيب اخصائي جراحه العظام</t>
  </si>
  <si>
    <t>طبيب اخصائي امراض  العيون وجراحتها</t>
  </si>
  <si>
    <t>طبيب اخصائي جراحه التجميل</t>
  </si>
  <si>
    <t>طبيب اخصائي جراحه المخ والعصاب</t>
  </si>
  <si>
    <t>طبيب اخصائي امراض  النساء والولده</t>
  </si>
  <si>
    <t>طبيب اخصائي انف واذن وحنجره</t>
  </si>
  <si>
    <t>طبيب اخصائي امراض  صدريه وتدرن</t>
  </si>
  <si>
    <t>طبيب اخصائي امراض  جلديه وتناسليه</t>
  </si>
  <si>
    <t>طبيب اخصائي في التخدير</t>
  </si>
  <si>
    <t>طبيب اخصائي غدد</t>
  </si>
  <si>
    <t>طبيب معمل باثولوجي</t>
  </si>
  <si>
    <t>اخصائى ميكروبيولوجى</t>
  </si>
  <si>
    <t>طبيب معمل باكتريوليوجي</t>
  </si>
  <si>
    <t>طبيب اخصائي في السموم</t>
  </si>
  <si>
    <t>طبيب اخصائي في الطب الشرعي</t>
  </si>
  <si>
    <t>طبيب اخصائي في نقل الدم</t>
  </si>
  <si>
    <t>طبيب اخصائي طب الطيران</t>
  </si>
  <si>
    <t>طبيب اخصائي اشعه وكهرباء طبيه</t>
  </si>
  <si>
    <t>طبيب اخصائي في الطب الطبيعي</t>
  </si>
  <si>
    <t>طبيب اخصائي في الطب التجريبي</t>
  </si>
  <si>
    <t>طبيب اخصائي في طب الصناعات</t>
  </si>
  <si>
    <t>طبيب اخصائي في الصحه العامه والطب</t>
  </si>
  <si>
    <t>طبيب اخصائي في طب المناطق الحاره</t>
  </si>
  <si>
    <t>طبيب اخصائي في النسجه والخليا</t>
  </si>
  <si>
    <t>اخصائى أجنة</t>
  </si>
  <si>
    <t>طبيب اخصائي في الطفيليات</t>
  </si>
  <si>
    <t>طبيب اخصائي في التحاليل الطبيه</t>
  </si>
  <si>
    <t>الطباء البشريون الخرون</t>
  </si>
  <si>
    <t>اخصائى امراض  تخاطب وتأهيل</t>
  </si>
  <si>
    <t>اخصائى تعديل سلوك</t>
  </si>
  <si>
    <t>اخصائى تنمية مهارات</t>
  </si>
  <si>
    <t>اخصائى بطىء تعلم</t>
  </si>
  <si>
    <t>اخصائى توحد</t>
  </si>
  <si>
    <t>اخصائى نفسى حركى</t>
  </si>
  <si>
    <t>اخصائى ارشاد نفسى</t>
  </si>
  <si>
    <t>اخصائى تأهيل ذوى العاقة السمعية</t>
  </si>
  <si>
    <t>اخصائى تأهيل للمكفوفين</t>
  </si>
  <si>
    <t>اخصائى تأهيل صم مكفوفين</t>
  </si>
  <si>
    <t>اخصائى تدخل مبكر</t>
  </si>
  <si>
    <t>اخصائى تأهيل لمتعددى العاقة</t>
  </si>
  <si>
    <t>اخصائى لغة اشارة الصم</t>
  </si>
  <si>
    <t>اخصائى تأهيل صم وبكم</t>
  </si>
  <si>
    <t>اخصائى تنمية مهارات موهوبين</t>
  </si>
  <si>
    <t>اخصائى تكنولوجيا تعليم ذوى العاقة</t>
  </si>
  <si>
    <t>اخصائى علج وظائفى</t>
  </si>
  <si>
    <t>اخصائى صعوبات تعلم</t>
  </si>
  <si>
    <t>اخصائى اعداد برامج تأهيلية</t>
  </si>
  <si>
    <t>فني تحاليل طبيه</t>
  </si>
  <si>
    <t>مدرب معتمد فى مجال ذوى الحتياجات</t>
  </si>
  <si>
    <t>مساعد اخصائى علج وظائفى</t>
  </si>
  <si>
    <t>فنى معمل</t>
  </si>
  <si>
    <t>اخصائى معمل</t>
  </si>
  <si>
    <t>فني شئون صحيه ے-معاون صحه</t>
  </si>
  <si>
    <t xml:space="preserve">اخصائى استخلص </t>
  </si>
  <si>
    <t>مساعدو الطباء البشريين - الخرون</t>
  </si>
  <si>
    <t>طبيب اسنان - عام</t>
  </si>
  <si>
    <t>طبيب اخصائي جراحه الفم والسنان</t>
  </si>
  <si>
    <t>طبيب اخصائي في تركيب السنان</t>
  </si>
  <si>
    <t>طبيب اخصائي في العلج التحفظي</t>
  </si>
  <si>
    <t>طبيب اخصائي في تقويم السنان</t>
  </si>
  <si>
    <t>اطباء السنان - الخرون</t>
  </si>
  <si>
    <t>مساعد طبيب أسنان - فني أسنان</t>
  </si>
  <si>
    <t>طبيب بيطري - عام</t>
  </si>
  <si>
    <t>طبيب بيطري وقائي وصحه عامه</t>
  </si>
  <si>
    <t>طبيب بيطري باثولوجي</t>
  </si>
  <si>
    <t>مدير الرعاية البيطرية</t>
  </si>
  <si>
    <t>مدير الشئون الطبيه</t>
  </si>
  <si>
    <t>مدير صيدليه</t>
  </si>
  <si>
    <t>الطباء البيطريون - الخرون</t>
  </si>
  <si>
    <t>مساعد طبيب بيطري</t>
  </si>
  <si>
    <t>صيدلي تحضير ادويه اجزجي</t>
  </si>
  <si>
    <t>صيدلي صناعه ادويه</t>
  </si>
  <si>
    <t>فنى تحضير</t>
  </si>
  <si>
    <t>مدير معمل</t>
  </si>
  <si>
    <t>مساعد صيدلي</t>
  </si>
  <si>
    <t>مساعد معمل</t>
  </si>
  <si>
    <t>كيميائى معمل</t>
  </si>
  <si>
    <t>استشارى اغذيه</t>
  </si>
  <si>
    <t>اخصائي اغذيه - عام</t>
  </si>
  <si>
    <t>اخصائي تغذيه صحه عامه</t>
  </si>
  <si>
    <t>مفتش  اغذيه</t>
  </si>
  <si>
    <t>اخصائيو الغذاء والتغذيه الصحيه</t>
  </si>
  <si>
    <t xml:space="preserve">رئيس  هيئة تمريض </t>
  </si>
  <si>
    <t xml:space="preserve">اخصائى تمريض </t>
  </si>
  <si>
    <t xml:space="preserve">مشرف تمريض </t>
  </si>
  <si>
    <t>ممرضه موءهله - عامه</t>
  </si>
  <si>
    <t>ممرضه موءهله متخصصه</t>
  </si>
  <si>
    <t>ممرضه صحه عامه</t>
  </si>
  <si>
    <t>ممرض - مسعف</t>
  </si>
  <si>
    <t>ممرضه امراض  مهنيه</t>
  </si>
  <si>
    <t>حكيمه</t>
  </si>
  <si>
    <t xml:space="preserve">فنى تمريض </t>
  </si>
  <si>
    <t>الممرضات الموءهلت - الخريات</t>
  </si>
  <si>
    <t xml:space="preserve">مساعد تمريض </t>
  </si>
  <si>
    <t>زائره صحيه</t>
  </si>
  <si>
    <t>ممرضه غير موءهله</t>
  </si>
  <si>
    <t>( 000 العاملون بالتمريض  الخرون ( ممرض  متجول</t>
  </si>
  <si>
    <t>مولده موءهله</t>
  </si>
  <si>
    <t>( قابله ( دايه</t>
  </si>
  <si>
    <t>اخصائى بصريات</t>
  </si>
  <si>
    <t>فني في صناعه النظارات الطبيه</t>
  </si>
  <si>
    <t>فنى بصريات</t>
  </si>
  <si>
    <t>فني تركيب وصيانة واصلح اجهزه طبيه</t>
  </si>
  <si>
    <t>فنى اجهزة تعويضية</t>
  </si>
  <si>
    <t>مدير ادارة السلمة والصحة المهنيه</t>
  </si>
  <si>
    <t>رئيس  قسم السلمة والصحة المهنية</t>
  </si>
  <si>
    <t>اخصائى سلمة وصحة مهنية</t>
  </si>
  <si>
    <t>ادارى سلمه وصحة مهنيه</t>
  </si>
  <si>
    <t>مشرف سلمة وصحة مهنية</t>
  </si>
  <si>
    <t>مسئول سلمة وصحة مهنية</t>
  </si>
  <si>
    <t>اخصائي في العلج الطبيعي</t>
  </si>
  <si>
    <t>اخصائي في علج المراض  المهنيه</t>
  </si>
  <si>
    <t>مدلك</t>
  </si>
  <si>
    <t>اخصائى نفسى</t>
  </si>
  <si>
    <t>اخصائى نفسى اكلينيكى</t>
  </si>
  <si>
    <t>فني اشعه</t>
  </si>
  <si>
    <t>( مجبر عظام (  مجبراتي</t>
  </si>
  <si>
    <t>فني صحي</t>
  </si>
  <si>
    <t>فنى سلمه وصحه مهنية</t>
  </si>
  <si>
    <t>فني في علج التشويه</t>
  </si>
  <si>
    <t>اطباء بشريون لم ترد مهنهم</t>
  </si>
  <si>
    <t>اخصائو في الحصاء - عام</t>
  </si>
  <si>
    <t>اخصائي في رياضيات الحصاء</t>
  </si>
  <si>
    <t>اخصائي في الحصاء التطبيقي</t>
  </si>
  <si>
    <t>اخصائي في الرياضيات البحته</t>
  </si>
  <si>
    <t>اخصائي في الرياضيات التطبقيه</t>
  </si>
  <si>
    <t>اخصائي اكتواري</t>
  </si>
  <si>
    <t>اخصائي تصميم جرافيك</t>
  </si>
  <si>
    <t>اخصائى دعم فــنى</t>
  </si>
  <si>
    <t>اخصائي تحليل نظم اليه ومعلومات</t>
  </si>
  <si>
    <t>محلل نظــم</t>
  </si>
  <si>
    <t>استشارى نظم</t>
  </si>
  <si>
    <t>اخصائى اول نظم معلومات</t>
  </si>
  <si>
    <t>اخصائى نظم معلومات جغرافية</t>
  </si>
  <si>
    <t>اخصائى نظم المعلومات الجغرافية والجيولوجية</t>
  </si>
  <si>
    <t>اخصائى (مسئول ) دعم تقنى</t>
  </si>
  <si>
    <t>اخصائى حلول تقنية</t>
  </si>
  <si>
    <t>مصمم حلول تقنية</t>
  </si>
  <si>
    <t>اخصائى حاسب آلى</t>
  </si>
  <si>
    <t>فني في الحصاء</t>
  </si>
  <si>
    <t>مطور برمجيات</t>
  </si>
  <si>
    <t>مطور برمجيات بحثيه متقدم</t>
  </si>
  <si>
    <t>اخصائي برامج اليه</t>
  </si>
  <si>
    <t>اخصائى شبكات كمبيوتر</t>
  </si>
  <si>
    <t>اخصائى تكنولوجيا معلومات</t>
  </si>
  <si>
    <t>اخصائى تكنولوجيا الكترونيات</t>
  </si>
  <si>
    <t>اخصائى مكتبات ومعلومات</t>
  </si>
  <si>
    <t>فنى شبكات كمبيوتر</t>
  </si>
  <si>
    <t>مبرمج حاسب آلى</t>
  </si>
  <si>
    <t>مبرمج تكنولوجيا المعلومات</t>
  </si>
  <si>
    <t>مبرمج اول تطبيقات</t>
  </si>
  <si>
    <t>فنى حاسب الـى</t>
  </si>
  <si>
    <t>الفنيون في الحصاء والرياضيات</t>
  </si>
  <si>
    <t>مصمم مواقع انترنت</t>
  </si>
  <si>
    <t>مصمم اعلنات</t>
  </si>
  <si>
    <t>اخصائى صيانة اجهزة الحاسب اللى</t>
  </si>
  <si>
    <t>اخصائى مراقبه اجهزة</t>
  </si>
  <si>
    <t>مدخل بيانات</t>
  </si>
  <si>
    <t>مشغل حاسب الى</t>
  </si>
  <si>
    <t>مشغل نظم تحكم</t>
  </si>
  <si>
    <t>اخصائى اول قاعدة بيانات</t>
  </si>
  <si>
    <t>اخصائي في القتصاد - محلل دراسات اقتصاديه</t>
  </si>
  <si>
    <t>خبير نظم معلومـات</t>
  </si>
  <si>
    <t>دكتور محاسب</t>
  </si>
  <si>
    <t>محاسب</t>
  </si>
  <si>
    <t>محاسب قانونى</t>
  </si>
  <si>
    <t>محاسب ومستشار تحكيم دولى</t>
  </si>
  <si>
    <t>مستشار تحكيم دولى ومحاسب قانونى</t>
  </si>
  <si>
    <t>مستشار تحكيم دولى</t>
  </si>
  <si>
    <t>دكتور فى القانون الدولى ومستشار تحكيم دولى</t>
  </si>
  <si>
    <t>محاسب اول حسابات عملء</t>
  </si>
  <si>
    <t>محاسب اول الموردين</t>
  </si>
  <si>
    <t>محاسب اول حسابات عامة</t>
  </si>
  <si>
    <t>محاسب موردين ومدفوعات</t>
  </si>
  <si>
    <t>محاسب بنوك وتمويل</t>
  </si>
  <si>
    <t>محاسب حسابات عامة</t>
  </si>
  <si>
    <t>مراجــع</t>
  </si>
  <si>
    <t>مراجع حسابات</t>
  </si>
  <si>
    <t>مراجع مالى</t>
  </si>
  <si>
    <t>مدقق حسابات</t>
  </si>
  <si>
    <t>مراجع داخلى</t>
  </si>
  <si>
    <t>اخصائى تمويل ومحاسبه</t>
  </si>
  <si>
    <t>مصرفي</t>
  </si>
  <si>
    <t>اخصــائى</t>
  </si>
  <si>
    <t>اخصائى مبيعات</t>
  </si>
  <si>
    <t>اخصائى رقابة جودة</t>
  </si>
  <si>
    <t>اخصائى توكيد جودة</t>
  </si>
  <si>
    <t>اخصائى انتاج</t>
  </si>
  <si>
    <t>مفتش جوده</t>
  </si>
  <si>
    <t>اخصائى ادارى</t>
  </si>
  <si>
    <t>اخصائى ارشيف</t>
  </si>
  <si>
    <t>اخصائى مشتريات</t>
  </si>
  <si>
    <t>اخصائى امن</t>
  </si>
  <si>
    <t>( اخصائى تسويق ( اختصاصى تسويق</t>
  </si>
  <si>
    <t>اخصائى احتياجات</t>
  </si>
  <si>
    <t>اخصائى لوجستيات</t>
  </si>
  <si>
    <t>اخصائى تنفيذ مشروعات</t>
  </si>
  <si>
    <t>اخصائى تخطيط</t>
  </si>
  <si>
    <t>اخصائى تخطيط منتج</t>
  </si>
  <si>
    <t>اخصائى تمويل</t>
  </si>
  <si>
    <t>اخصائى مزايا</t>
  </si>
  <si>
    <t xml:space="preserve">اخصائى اقراض </t>
  </si>
  <si>
    <t>اخصائى تسجيل وجدولة</t>
  </si>
  <si>
    <t xml:space="preserve">اخصائى تراخيص </t>
  </si>
  <si>
    <t>رئيس اخصائيين سكرتاريه</t>
  </si>
  <si>
    <t>رئيس  قسـم</t>
  </si>
  <si>
    <t>رئيس اقسام</t>
  </si>
  <si>
    <t>مساعد رئيس قسم</t>
  </si>
  <si>
    <t>رئيس  تنفيذى</t>
  </si>
  <si>
    <t>نائب رئيس  تنفيذى</t>
  </si>
  <si>
    <t>رئيس  مجموعة</t>
  </si>
  <si>
    <t>رئيس شعبة</t>
  </si>
  <si>
    <t>وكيل شعبة</t>
  </si>
  <si>
    <t>نائب رئيس قسم</t>
  </si>
  <si>
    <t>نائب رئيس الشئون الماليه</t>
  </si>
  <si>
    <t>نائب رئيس قسم شئون العاملين</t>
  </si>
  <si>
    <t>نائب رئيس قسم الموارد البشريه</t>
  </si>
  <si>
    <t>رئيس  قسم حسابات</t>
  </si>
  <si>
    <t>رئيس  قسم اليرادات</t>
  </si>
  <si>
    <t>رئيس  قسم حسابات استيراد وتصدير</t>
  </si>
  <si>
    <t>مشرف حسابات</t>
  </si>
  <si>
    <t>مشرف تخطيط مالى</t>
  </si>
  <si>
    <t>مشرف تخطيط</t>
  </si>
  <si>
    <t>مشرف تخطيط هندسى</t>
  </si>
  <si>
    <t>رئيس  قسم التخطيط</t>
  </si>
  <si>
    <t>رئيس  قسم التخطيط والمتابعه</t>
  </si>
  <si>
    <t>رئيس  قسم تخطيط مواد</t>
  </si>
  <si>
    <t>رئيس  قسم التحصيل</t>
  </si>
  <si>
    <t>رئيس  قسم خطوط النتاج</t>
  </si>
  <si>
    <t>رئيس قسم الئتمان والتحصيل</t>
  </si>
  <si>
    <t>رئيس قسم العداد والتسجيل</t>
  </si>
  <si>
    <t>رئيس قسم شئون المقر</t>
  </si>
  <si>
    <t>رئيس  قسم شئون العاملين</t>
  </si>
  <si>
    <t>مشرف شئون عاملين</t>
  </si>
  <si>
    <t>اخصائى عقود</t>
  </si>
  <si>
    <t>رئيس قسم نظم معلومات</t>
  </si>
  <si>
    <t>رئيس  قسم الحاسب اللى</t>
  </si>
  <si>
    <t>رئيس  قسم الرعاية الصحية</t>
  </si>
  <si>
    <t>رئيس قسم شئون العضوية</t>
  </si>
  <si>
    <t>رئيس  قسم التأمينات</t>
  </si>
  <si>
    <t>اخصائى تامينات اجتماعية</t>
  </si>
  <si>
    <t>اخصائى تامينات سيارات</t>
  </si>
  <si>
    <t>مشرف تأمين</t>
  </si>
  <si>
    <t>مدير فريق خدمات تأمينية</t>
  </si>
  <si>
    <t>رئيس  قسم الجور</t>
  </si>
  <si>
    <t>رئيس  قسم الجازات</t>
  </si>
  <si>
    <t>رئيس  قسم الحجز الدارى</t>
  </si>
  <si>
    <t>رئيس  قسم الشئون القانونية</t>
  </si>
  <si>
    <t>رئيس  قسم الشئون الداريه</t>
  </si>
  <si>
    <t>مشرف شئون ادارية</t>
  </si>
  <si>
    <t>اخصائى انشاء وثائق</t>
  </si>
  <si>
    <t>مراجع شئون ادارية</t>
  </si>
  <si>
    <t>منسق شئون اداريه</t>
  </si>
  <si>
    <t>منسق موارد بشرية</t>
  </si>
  <si>
    <t>رئيس  قسم المخازن</t>
  </si>
  <si>
    <t>مشرف مخازن</t>
  </si>
  <si>
    <t>مشرف جودة</t>
  </si>
  <si>
    <t>رئيس  قسم المراجعه</t>
  </si>
  <si>
    <t>رئيس  قسم المبيعات</t>
  </si>
  <si>
    <t>مشرف مبيعات</t>
  </si>
  <si>
    <t>رئيس  قسم دعم المبيعات</t>
  </si>
  <si>
    <t>رئيس  قسم بوحده انتاجيه</t>
  </si>
  <si>
    <t>رئيس  قسم التكاليف</t>
  </si>
  <si>
    <t>رئيس  قسم المن</t>
  </si>
  <si>
    <t>رئيس قسم امن صناعى</t>
  </si>
  <si>
    <t>رئيس قسم الطوارىء</t>
  </si>
  <si>
    <t>رئيس  قسم الجمارك</t>
  </si>
  <si>
    <t>رئيس  قسم الجوده</t>
  </si>
  <si>
    <t>رئيس قسم توكيد جوده</t>
  </si>
  <si>
    <t>رئيس قسم اللوجيستيك</t>
  </si>
  <si>
    <t>رئيس  قسم استقبال المواد</t>
  </si>
  <si>
    <t>رئيس  قسم التبريد</t>
  </si>
  <si>
    <t>رئيس  قسم الصيانه</t>
  </si>
  <si>
    <t>رئيس  قسم سياحة دينية</t>
  </si>
  <si>
    <t>رئيس قسم الحركة</t>
  </si>
  <si>
    <t>رئيس  قسم خدمة العملء</t>
  </si>
  <si>
    <t>رئيس  قسم شكاوى العملء</t>
  </si>
  <si>
    <t>رئيس  قسم حسابات العملء</t>
  </si>
  <si>
    <t>مهندس  ورشة</t>
  </si>
  <si>
    <t>رئيس  ورشه</t>
  </si>
  <si>
    <t>رئيس  ملحظين</t>
  </si>
  <si>
    <t>رئيس  فنيين تنفيذى</t>
  </si>
  <si>
    <t>رئيس قسم البحاث والتطوير</t>
  </si>
  <si>
    <t>رئيس  قسم التطوير</t>
  </si>
  <si>
    <t>رئيس قسم الطباعه</t>
  </si>
  <si>
    <t>رئيس قسم التجليد</t>
  </si>
  <si>
    <t>رئيس  مشرفين</t>
  </si>
  <si>
    <t>رئيس مشرفين فنيين</t>
  </si>
  <si>
    <t>امين عهدة نقدية</t>
  </si>
  <si>
    <t>امين صندوق</t>
  </si>
  <si>
    <t>رئيس  خزينة</t>
  </si>
  <si>
    <t>المحاسبون - الخرون</t>
  </si>
  <si>
    <t>محام</t>
  </si>
  <si>
    <t>اخصائى مشتريات خارجية</t>
  </si>
  <si>
    <t>مشرف مشتريات</t>
  </si>
  <si>
    <t>منسق مشتريات</t>
  </si>
  <si>
    <t>منسق تسويق</t>
  </si>
  <si>
    <t>قاضي</t>
  </si>
  <si>
    <t>قاضى اتفاقى</t>
  </si>
  <si>
    <t>مستشار قانوني</t>
  </si>
  <si>
    <t>باحث قانونى</t>
  </si>
  <si>
    <t>ممثل قانونى</t>
  </si>
  <si>
    <t>عضو نيابه عامه</t>
  </si>
  <si>
    <t>عضو نيابه اداريه</t>
  </si>
  <si>
    <t>عضو بمجلس  الدوله - قضاء اداري</t>
  </si>
  <si>
    <t>موثق - مصلحه الشهر العقاري</t>
  </si>
  <si>
    <t>ماءذون شرعي</t>
  </si>
  <si>
    <t>امين سجل مدني</t>
  </si>
  <si>
    <t>رجال القانون الخرون</t>
  </si>
  <si>
    <t>عضو هيئة تدريس بالجامعة</t>
  </si>
  <si>
    <t>عضو هيئه التدريس  في الداب</t>
  </si>
  <si>
    <t>عضو هيئه التدريس  في العلوم</t>
  </si>
  <si>
    <t>عضو هيئه التدريس  في القانون</t>
  </si>
  <si>
    <t>عضو هيئه التدريس  في علوم تجاريه</t>
  </si>
  <si>
    <t>عضو هيئه التدريس  في علوم اجتماعيه</t>
  </si>
  <si>
    <t>عضو هيئه التدريس  في علوم هندسيه</t>
  </si>
  <si>
    <t>عضو هيئه التدريس  في علوم الرياضه</t>
  </si>
  <si>
    <t>عضو هيئه التدريس  في علوم الطبيعه</t>
  </si>
  <si>
    <t>عضو هيئه التدريس  في اللغات</t>
  </si>
  <si>
    <t>عضو هيئه التدريس  في العلوم الطبيه</t>
  </si>
  <si>
    <t>عضو هيئه التدريس  في علوم زراعيه</t>
  </si>
  <si>
    <t>عضو هيئه التدريس  في علوم دينيه</t>
  </si>
  <si>
    <t>استاذ</t>
  </si>
  <si>
    <t>استاذ قسم علوم الحاسب</t>
  </si>
  <si>
    <t>استاذ مساعد</t>
  </si>
  <si>
    <t>استاذ محاسبة بالجامعة</t>
  </si>
  <si>
    <t>اساتذه ومدرسو الجامعات والمعاهد</t>
  </si>
  <si>
    <t>معيــد</t>
  </si>
  <si>
    <t>محاضر بالجامعة</t>
  </si>
  <si>
    <t>معيد بالمعاهد العليا</t>
  </si>
  <si>
    <t>دكتور ادارة أعمال</t>
  </si>
  <si>
    <t>باحث لغوى</t>
  </si>
  <si>
    <t>مشرف مواد علمية</t>
  </si>
  <si>
    <t xml:space="preserve">مدرس </t>
  </si>
  <si>
    <t>مدرس  اول</t>
  </si>
  <si>
    <t>مدرس جامعى</t>
  </si>
  <si>
    <t>مدرس  الداب</t>
  </si>
  <si>
    <t>مدرس مساعد</t>
  </si>
  <si>
    <t>مدرس  دراسات اجتماعيه</t>
  </si>
  <si>
    <t>مدرس تاريخ ثانوى</t>
  </si>
  <si>
    <t>مدرس جغرافيا ثانوى</t>
  </si>
  <si>
    <t>مدرس  رياضيات</t>
  </si>
  <si>
    <t>مدرس رياضيات لغات</t>
  </si>
  <si>
    <t>مدرس  لغه انجليزية</t>
  </si>
  <si>
    <t>مدرس  في اللغات</t>
  </si>
  <si>
    <t>مدرس لغة عربية</t>
  </si>
  <si>
    <t>مدرس لغة فرنسيه</t>
  </si>
  <si>
    <t>مدرس لغة المانية</t>
  </si>
  <si>
    <t>مدرس كيمياء</t>
  </si>
  <si>
    <t>مدرس  في العلوم الطبيعيه</t>
  </si>
  <si>
    <t>مدرس  في العلوم التجاريه</t>
  </si>
  <si>
    <t>مدرس  فنون</t>
  </si>
  <si>
    <t>مدرس  حرف</t>
  </si>
  <si>
    <t>مدرس  تدبير منزلي وتفصيل</t>
  </si>
  <si>
    <t>مدرس  تربيه رياضية</t>
  </si>
  <si>
    <t>مدرس  موسيقى</t>
  </si>
  <si>
    <t>مدرس  علوم زراعيه</t>
  </si>
  <si>
    <t>مدرس  علوم دينيه</t>
  </si>
  <si>
    <t>مدرسو المرحله الثانويه - الخرون</t>
  </si>
  <si>
    <t>مدرس  كمبيوتر</t>
  </si>
  <si>
    <t>مدرس / مدرسة بالمدارس البتدائية</t>
  </si>
  <si>
    <t>مدرس  /  مشرف بمدارس  الحضانه</t>
  </si>
  <si>
    <t>مشرف بالمدارس البتدائية</t>
  </si>
  <si>
    <t>مدرس  انواع خاصه من التعليم</t>
  </si>
  <si>
    <t>مدرس  تربيه خاصة</t>
  </si>
  <si>
    <t>مدرس  بالمدارس  العداديه</t>
  </si>
  <si>
    <t>مدرس  بمراكز التدريب المهني ثانويه</t>
  </si>
  <si>
    <t>مدرس  بمراكز التدريب المهني اعداديه</t>
  </si>
  <si>
    <t>وكيل مدرسه لغات</t>
  </si>
  <si>
    <t>رئيس شئون الطلب</t>
  </si>
  <si>
    <t>مدرس  تحفيظ القراءن</t>
  </si>
  <si>
    <t>اخصائي في طرق التعليم والتخاطب</t>
  </si>
  <si>
    <t>اخصائي في المساعدات التعليميه</t>
  </si>
  <si>
    <t>صاحب مدرسه</t>
  </si>
  <si>
    <t>ناظر مدرسه</t>
  </si>
  <si>
    <t>ناظر مدرسة ثانوى</t>
  </si>
  <si>
    <t>وكيل مدرسه</t>
  </si>
  <si>
    <t>مدير مدرسه</t>
  </si>
  <si>
    <t>موجــه</t>
  </si>
  <si>
    <t>المدرسون الذين لم ترد مهنهم</t>
  </si>
  <si>
    <t>واعظ</t>
  </si>
  <si>
    <t>امام مسجد</t>
  </si>
  <si>
    <t>مقريء</t>
  </si>
  <si>
    <t>موءذن</t>
  </si>
  <si>
    <t>مقرىء درجه ثانيه</t>
  </si>
  <si>
    <t>مدير مجمع فقهاء الشريعة</t>
  </si>
  <si>
    <t>رجال الدين السلمي - الخرون</t>
  </si>
  <si>
    <t>مطران</t>
  </si>
  <si>
    <t xml:space="preserve">قسيس </t>
  </si>
  <si>
    <t xml:space="preserve">شماس </t>
  </si>
  <si>
    <t>( رجال الدين المسيحي الخرون  (  مرتل كنيسه</t>
  </si>
  <si>
    <t>رجل الدين اليهودي</t>
  </si>
  <si>
    <t>رجل دين لم ترد مهنته فيما سبق</t>
  </si>
  <si>
    <t>كاتب مؤلفات ادبية</t>
  </si>
  <si>
    <t>ناقد فني</t>
  </si>
  <si>
    <t>اخصائى اعلم</t>
  </si>
  <si>
    <t>مصـحح</t>
  </si>
  <si>
    <t>مصمم صحــف</t>
  </si>
  <si>
    <t>منسق صحــف</t>
  </si>
  <si>
    <t>منفذ صحــف</t>
  </si>
  <si>
    <t>سكرتير تحرير</t>
  </si>
  <si>
    <t>نائب رئيس التحرير</t>
  </si>
  <si>
    <t>مساعد رئيس التحرير</t>
  </si>
  <si>
    <t>مخرج صحفى</t>
  </si>
  <si>
    <t>مراجع تحـرير</t>
  </si>
  <si>
    <t>" محرر " تحت التمرين</t>
  </si>
  <si>
    <t>صحفى تحت التمرين</t>
  </si>
  <si>
    <t>محرر مراجع تحت التمرين</t>
  </si>
  <si>
    <t>رئيس  المراسلين</t>
  </si>
  <si>
    <t>مراسل</t>
  </si>
  <si>
    <t>مراسل خارجى</t>
  </si>
  <si>
    <t>مراسل صحفــى</t>
  </si>
  <si>
    <t>محرر رياضى</t>
  </si>
  <si>
    <t>صحفي - عام</t>
  </si>
  <si>
    <t>مدير تحرير</t>
  </si>
  <si>
    <t>رئيس  تحرير</t>
  </si>
  <si>
    <t>محرر صحــفى</t>
  </si>
  <si>
    <t>محرر</t>
  </si>
  <si>
    <t>.محرر الكترونى</t>
  </si>
  <si>
    <t>مخبر صحفي</t>
  </si>
  <si>
    <t>معلق الذاعه والتليفزيون</t>
  </si>
  <si>
    <t>محرر اعلنات</t>
  </si>
  <si>
    <t>محرر دعايه ونشر</t>
  </si>
  <si>
    <t>محرر شئون علميه</t>
  </si>
  <si>
    <t>الموءلفون والصحفيون ومن اليهم</t>
  </si>
  <si>
    <t>مثال</t>
  </si>
  <si>
    <t>رسام متجول</t>
  </si>
  <si>
    <t>رسام كاريكاتيري</t>
  </si>
  <si>
    <t>فنان تشكيلى</t>
  </si>
  <si>
    <t>فنان حفر - حفار</t>
  </si>
  <si>
    <t xml:space="preserve">فنان حفر بواسطه الحماض </t>
  </si>
  <si>
    <t>مرمم اثار</t>
  </si>
  <si>
    <t>المثالون والرسامون</t>
  </si>
  <si>
    <t>فني تجهيزات صحفيه</t>
  </si>
  <si>
    <t>فني دعايه واعلن</t>
  </si>
  <si>
    <t>فنان اعلنات تجاريه - تصميم وتنفيذ</t>
  </si>
  <si>
    <t>مصمم ديكور داخلي</t>
  </si>
  <si>
    <t>مصمم منتجات صناعيه وتجاريه</t>
  </si>
  <si>
    <t>مصمم وسائل عرض  البضائع</t>
  </si>
  <si>
    <t>مصمم لوحات</t>
  </si>
  <si>
    <t>اخصائى ديكور</t>
  </si>
  <si>
    <t>فنـى ديكور</t>
  </si>
  <si>
    <t>منفذ ديكور</t>
  </si>
  <si>
    <t>مصــمم</t>
  </si>
  <si>
    <t>مصمم أزياء</t>
  </si>
  <si>
    <t>مصمم جرافيك</t>
  </si>
  <si>
    <t>مشرف مصمم جرافيك</t>
  </si>
  <si>
    <t>فنى مونتاج</t>
  </si>
  <si>
    <t>مونتــير</t>
  </si>
  <si>
    <t>رئيس  قسم التصوير</t>
  </si>
  <si>
    <t>رئيس  قسم المونتاج</t>
  </si>
  <si>
    <t>مصـــور</t>
  </si>
  <si>
    <t>مدير تصوير - في السينما</t>
  </si>
  <si>
    <t>مدير استوديو جرافيك</t>
  </si>
  <si>
    <t>مصور صحفي</t>
  </si>
  <si>
    <t>مصور سينمائي</t>
  </si>
  <si>
    <t>مصور تليفزيوني</t>
  </si>
  <si>
    <t>مصوراتى متجول</t>
  </si>
  <si>
    <t>المصورون - الخرون</t>
  </si>
  <si>
    <t>مؤلف</t>
  </si>
  <si>
    <t>موءلف موسيقي</t>
  </si>
  <si>
    <t>ملحن موسيقي</t>
  </si>
  <si>
    <t>موزع موسيقي</t>
  </si>
  <si>
    <t>قائد فرقه موسيقيه</t>
  </si>
  <si>
    <t>عازف موسيقي</t>
  </si>
  <si>
    <t>مغني - مطرب - منشد كورال - مداح</t>
  </si>
  <si>
    <t>قائد فرقه صوتيه - كورال</t>
  </si>
  <si>
    <t>موءلفو الموسيقي والملحنون</t>
  </si>
  <si>
    <t>مسجل موسيقى</t>
  </si>
  <si>
    <t>فنى صوت</t>
  </si>
  <si>
    <t>مساعد صوت</t>
  </si>
  <si>
    <t>مساعد كاميرا</t>
  </si>
  <si>
    <t>موءلف رقصات</t>
  </si>
  <si>
    <t>مسجل صوت</t>
  </si>
  <si>
    <t>راقص  - راقصه</t>
  </si>
  <si>
    <t>ممثل</t>
  </si>
  <si>
    <t>مخرج مسرحي</t>
  </si>
  <si>
    <t>مخرج سينمائي</t>
  </si>
  <si>
    <t>مخرج راديو وتليفزيون</t>
  </si>
  <si>
    <t>مخـرج</t>
  </si>
  <si>
    <t>الممثلون والمخرجون - الخرون</t>
  </si>
  <si>
    <t>مدير انتاج</t>
  </si>
  <si>
    <t>مدير توزيع</t>
  </si>
  <si>
    <t>مدير قسم الدعاية</t>
  </si>
  <si>
    <t>مدير مسرح</t>
  </si>
  <si>
    <t>منتج مسرحي - وكيل فنانين</t>
  </si>
  <si>
    <t>منتج سينمائي</t>
  </si>
  <si>
    <t>اختصاصى انتاج أفلم</t>
  </si>
  <si>
    <t>منتج راديو وتليفزيون</t>
  </si>
  <si>
    <t>مساعد انتاج</t>
  </si>
  <si>
    <t>معد برامج تلفزيونيه</t>
  </si>
  <si>
    <t>منتجو العروض  الفنيه - الخرون</t>
  </si>
  <si>
    <t>مهرج</t>
  </si>
  <si>
    <t>ساحر حاوي</t>
  </si>
  <si>
    <t>لعب العاب بهلوانيه - اكروبات</t>
  </si>
  <si>
    <t xml:space="preserve">مدرب حيوانات في السيرك - مروض </t>
  </si>
  <si>
    <t>مدرب كلب</t>
  </si>
  <si>
    <t>لعبو السيرك الخرون</t>
  </si>
  <si>
    <t>مذيع راديو - مذيع تليفزيون</t>
  </si>
  <si>
    <t xml:space="preserve">لعب بالعرائس </t>
  </si>
  <si>
    <t xml:space="preserve">كومبارس </t>
  </si>
  <si>
    <t xml:space="preserve">موءلفو الموسيقي وفنانو العروض </t>
  </si>
  <si>
    <t>رياضي محترف</t>
  </si>
  <si>
    <t>مدرب العاب رياضيه</t>
  </si>
  <si>
    <t>مدرب لياقه بدنيه</t>
  </si>
  <si>
    <t>مدرب سباحه</t>
  </si>
  <si>
    <t>منقذ بحمام السباحة</t>
  </si>
  <si>
    <t xml:space="preserve">مدرب غطس </t>
  </si>
  <si>
    <t xml:space="preserve">مدرب تنس </t>
  </si>
  <si>
    <t>قائد فريق</t>
  </si>
  <si>
    <t>قائد حركة</t>
  </si>
  <si>
    <t>مدرب خيول</t>
  </si>
  <si>
    <t>الرياضيون المحترفون</t>
  </si>
  <si>
    <t>امين معمل</t>
  </si>
  <si>
    <t>امين مكتبه</t>
  </si>
  <si>
    <t>امين محفوظات</t>
  </si>
  <si>
    <t>امين متحف</t>
  </si>
  <si>
    <t>امناء المكتبات الخرون</t>
  </si>
  <si>
    <t>اخصائي في علم الجتماع</t>
  </si>
  <si>
    <t xml:space="preserve">اخصائي في علم النفس </t>
  </si>
  <si>
    <t>اخصائي في علم النسان</t>
  </si>
  <si>
    <t>اخصائي في علم الجغرافيا</t>
  </si>
  <si>
    <t>اخصائي في التاريخ - مورخ</t>
  </si>
  <si>
    <t>اخصائي في العلوم السياسيه</t>
  </si>
  <si>
    <t>الخصائيون في علم الجتماع</t>
  </si>
  <si>
    <t>اخصائي بحوث بيئيه</t>
  </si>
  <si>
    <t>باحث اجتماعي .اخصائي اجتماع</t>
  </si>
  <si>
    <t>مدير نظم بيئية</t>
  </si>
  <si>
    <t>مشرف نظم بيئية</t>
  </si>
  <si>
    <t>اخصائى اجتماعى اول</t>
  </si>
  <si>
    <t>( مشرفه داخليه ( رائده حضريه</t>
  </si>
  <si>
    <t>رائده ريفيه</t>
  </si>
  <si>
    <t>باحث اقتصادي - محلل اقتصادي</t>
  </si>
  <si>
    <t>باحث تنمية ادارية</t>
  </si>
  <si>
    <t>باحث</t>
  </si>
  <si>
    <t>باحث مساعد</t>
  </si>
  <si>
    <t>باحث شرعى</t>
  </si>
  <si>
    <t>اخصائى خدمات اداريه</t>
  </si>
  <si>
    <t>اخصائى حسابات بنكية</t>
  </si>
  <si>
    <t>اخصائى خدمة عملء</t>
  </si>
  <si>
    <t>اخصائى شئون عقاريه</t>
  </si>
  <si>
    <t>اخصائي موارد بشريه</t>
  </si>
  <si>
    <t>اخصائى نظم موارد بشريه</t>
  </si>
  <si>
    <t>اخصائى علقات عمل</t>
  </si>
  <si>
    <t>اخصائى ائتمان</t>
  </si>
  <si>
    <t>اخصائي توجيه مهني للطلبه</t>
  </si>
  <si>
    <t>اخصائي تحليل وظائف</t>
  </si>
  <si>
    <t>اخصائي تنظيم واداره</t>
  </si>
  <si>
    <t>اخصائى اجور</t>
  </si>
  <si>
    <t>اخصائي تدريب</t>
  </si>
  <si>
    <t>مدير تدريب</t>
  </si>
  <si>
    <t>مدرب</t>
  </si>
  <si>
    <t>مدرب اعمال فنية بمراكز التدريب</t>
  </si>
  <si>
    <t>مدرب فنيين</t>
  </si>
  <si>
    <t>مشرف تدريب</t>
  </si>
  <si>
    <t>اخصائى شئون اداريه</t>
  </si>
  <si>
    <t>اخصائى شئون عاملين</t>
  </si>
  <si>
    <t>اخصائيو شئون الفراد والتوجيه</t>
  </si>
  <si>
    <t>مترجم</t>
  </si>
  <si>
    <t>مترجم اشارات للصم</t>
  </si>
  <si>
    <t>اخصائي في اللغات</t>
  </si>
  <si>
    <t>مترجم فورى لغات</t>
  </si>
  <si>
    <t>مترجم ماده مكتوبه</t>
  </si>
  <si>
    <t>مترجم احاديث</t>
  </si>
  <si>
    <t>اخصائي علقات عامه</t>
  </si>
  <si>
    <t>اخصائى تأمين</t>
  </si>
  <si>
    <t>اخصائي اقتصاد منزلي</t>
  </si>
  <si>
    <t>اخصائي في الثار المصريه القديمه</t>
  </si>
  <si>
    <t>اخصائي في الثار السلميه</t>
  </si>
  <si>
    <t>اخصائي في الثار القبطيه</t>
  </si>
  <si>
    <t>اصحاب المهن الفنيه والعلميه</t>
  </si>
  <si>
    <t>رئيس  جمهوريه</t>
  </si>
  <si>
    <t>رئيس  وزراء</t>
  </si>
  <si>
    <t>رئيس  مجلس  الشعب</t>
  </si>
  <si>
    <t>رئيس  مجلس  الشوري</t>
  </si>
  <si>
    <t>نائب رئيس  وزراء</t>
  </si>
  <si>
    <t>وزير</t>
  </si>
  <si>
    <t>وزير دوله</t>
  </si>
  <si>
    <t>محافظ</t>
  </si>
  <si>
    <t>عضو مجلس  الدوله تشريع</t>
  </si>
  <si>
    <t>رجال التشريع - الخرون</t>
  </si>
  <si>
    <t>رئيس  قطاعات بالقطاع العام</t>
  </si>
  <si>
    <t>( رئيس  اداره مركزيه ( وكيل وزاره</t>
  </si>
  <si>
    <t>مدير مصلحه او اداره عامه</t>
  </si>
  <si>
    <t>مدير مكتبة</t>
  </si>
  <si>
    <t>امين عام - سكرتير عام</t>
  </si>
  <si>
    <t>سكرتير ـ تنفيذى</t>
  </si>
  <si>
    <t>مدير تنفيذى</t>
  </si>
  <si>
    <t>مدير تنفيذى مجسمات معماريه</t>
  </si>
  <si>
    <t>نائب مدير تنفيذى</t>
  </si>
  <si>
    <t>منسق مكتب المدير التنفيذى</t>
  </si>
  <si>
    <t>تنفيذى</t>
  </si>
  <si>
    <t>تنفيذى علقات عامة</t>
  </si>
  <si>
    <t>تنفيذى اول مراجعة ديون</t>
  </si>
  <si>
    <t>مدير طيران</t>
  </si>
  <si>
    <t>مخطط برامج</t>
  </si>
  <si>
    <t>مدير نظم ومعلومات</t>
  </si>
  <si>
    <t>مخطط برامج هندسية</t>
  </si>
  <si>
    <t>مدير برامج</t>
  </si>
  <si>
    <t>مديـر</t>
  </si>
  <si>
    <t>مدير اداره</t>
  </si>
  <si>
    <t>مدير شركـة</t>
  </si>
  <si>
    <t>مدير مكتب</t>
  </si>
  <si>
    <t>مدير مكتب رئيس مجلس الدارة</t>
  </si>
  <si>
    <t>مدير مكتب العضو المنتدب</t>
  </si>
  <si>
    <t>مدير مكتب رئيس قطاع</t>
  </si>
  <si>
    <t>رئيس  مجلس  مدينه</t>
  </si>
  <si>
    <t>رئيس  مجلس  قريه</t>
  </si>
  <si>
    <t>المديرون الداريون في الحكومه</t>
  </si>
  <si>
    <t>مراقب عام</t>
  </si>
  <si>
    <t>مراقب جوده</t>
  </si>
  <si>
    <t>مراقب مالى</t>
  </si>
  <si>
    <t>مراقب ومسئول مكافحة غسيل اموال</t>
  </si>
  <si>
    <t>مراقب امن</t>
  </si>
  <si>
    <t>مراقب طقم</t>
  </si>
  <si>
    <t>فاحص  جودة</t>
  </si>
  <si>
    <t>مراقب تكاليف</t>
  </si>
  <si>
    <t>مراقب انظمة المبيعات</t>
  </si>
  <si>
    <t>مراقب وقت</t>
  </si>
  <si>
    <t>مراقــب</t>
  </si>
  <si>
    <t>مراقب مخازن</t>
  </si>
  <si>
    <t>مراقب عمال</t>
  </si>
  <si>
    <t>منسق مخازن</t>
  </si>
  <si>
    <t>مراقب الحركة</t>
  </si>
  <si>
    <t>مساعد مراقب الحركة</t>
  </si>
  <si>
    <t>مراقب سلمه وصحه مهنية</t>
  </si>
  <si>
    <t>منسق سلمة</t>
  </si>
  <si>
    <t>مراقب عام مدنى</t>
  </si>
  <si>
    <t>مراقب داخلى</t>
  </si>
  <si>
    <t>كـبير</t>
  </si>
  <si>
    <t>كبير محاسبين</t>
  </si>
  <si>
    <t>كبير مراجعين</t>
  </si>
  <si>
    <t>كبير محامين</t>
  </si>
  <si>
    <t>كبير اخصائيين</t>
  </si>
  <si>
    <t>كبير اخصائيين مشتريات</t>
  </si>
  <si>
    <t>كبير اخصائيين متابعة</t>
  </si>
  <si>
    <t>كبير باحثين</t>
  </si>
  <si>
    <t>كبير كتاب</t>
  </si>
  <si>
    <t>كبير مستشارين</t>
  </si>
  <si>
    <t>كبير اداريين</t>
  </si>
  <si>
    <t>كبير فنيين</t>
  </si>
  <si>
    <t>كبير فنيين كهرباء</t>
  </si>
  <si>
    <t>كبير فنيين ميكانيكا</t>
  </si>
  <si>
    <t>كبير مرشدين بحريين</t>
  </si>
  <si>
    <t>كبير فنيين معامل</t>
  </si>
  <si>
    <t>كبير فنيين انتاج</t>
  </si>
  <si>
    <t>كبير فنيين تعبئة</t>
  </si>
  <si>
    <t>كبير مشرفين فنيين</t>
  </si>
  <si>
    <t>محقق امنى</t>
  </si>
  <si>
    <t>مستشار</t>
  </si>
  <si>
    <t>مستشار خدمات فنيه</t>
  </si>
  <si>
    <t>مستشار ادارى</t>
  </si>
  <si>
    <t>مستشار هندسى</t>
  </si>
  <si>
    <t>مستشار شرعى</t>
  </si>
  <si>
    <t>استشارى اول موارد بشرية</t>
  </si>
  <si>
    <t>مستشار اعلمى وثقافى</t>
  </si>
  <si>
    <t>استشارى مبيعات</t>
  </si>
  <si>
    <t>مستشار التدريب والرشاد السرى</t>
  </si>
  <si>
    <t>استشارى ضرائب</t>
  </si>
  <si>
    <t>استشارى تكنولوجيا المعلومات</t>
  </si>
  <si>
    <t>استشارى رقابة</t>
  </si>
  <si>
    <t>خبيـر</t>
  </si>
  <si>
    <t>خبير اقتصادى</t>
  </si>
  <si>
    <t>خبير تجارة دولية</t>
  </si>
  <si>
    <t>خبير دراسات بيئية</t>
  </si>
  <si>
    <t>خبير تطوير منتج</t>
  </si>
  <si>
    <t>مدير تطوير اعمال</t>
  </si>
  <si>
    <t>مدير قسم التطوير</t>
  </si>
  <si>
    <t>اخصائى ابحاث وتطوير</t>
  </si>
  <si>
    <t>اخصائى تطوير تكنولوجى</t>
  </si>
  <si>
    <t>فنى رقابة وجودة</t>
  </si>
  <si>
    <t xml:space="preserve">مفتـش </t>
  </si>
  <si>
    <t>مفتش انتاج</t>
  </si>
  <si>
    <t xml:space="preserve">رئيــس </t>
  </si>
  <si>
    <t>رئيس  عمليات</t>
  </si>
  <si>
    <t>رئيس فريق</t>
  </si>
  <si>
    <t>رئيس  اداريين</t>
  </si>
  <si>
    <t>رئيس  الخدمات</t>
  </si>
  <si>
    <t>نائب رئيس  الخدمات</t>
  </si>
  <si>
    <t>رئيس  طقم</t>
  </si>
  <si>
    <t>رئيس  الجامعة</t>
  </si>
  <si>
    <t>رئيس  مجلس  المناء</t>
  </si>
  <si>
    <t>عميد كلية</t>
  </si>
  <si>
    <t>عميد معهد</t>
  </si>
  <si>
    <t>مساعد مدرس بالجامعة</t>
  </si>
  <si>
    <t>مساعد عميد</t>
  </si>
  <si>
    <t>عضو مجلس امناء</t>
  </si>
  <si>
    <t>رئيس  مجلس  اداره موءسسه عامه</t>
  </si>
  <si>
    <t>رئيس  مجلس  اداره هيئه عامه</t>
  </si>
  <si>
    <t>رئيس  مجلس  اداره شركه</t>
  </si>
  <si>
    <t>مدير عام موءسسه عامه</t>
  </si>
  <si>
    <t>مدير عام هيئه عامه</t>
  </si>
  <si>
    <t>مدير عام القطاع التجارى</t>
  </si>
  <si>
    <t>مدير عام القطاع الدارى</t>
  </si>
  <si>
    <t>نائب مدير عام الصيانة</t>
  </si>
  <si>
    <t>مدير عام مبيعات</t>
  </si>
  <si>
    <t>مدير عام شركه او ادارة</t>
  </si>
  <si>
    <t>مدير عام الشئون الدارية</t>
  </si>
  <si>
    <t>مدير عام الشئون المالية</t>
  </si>
  <si>
    <t xml:space="preserve">مدير عام تفتيش </t>
  </si>
  <si>
    <t>مدير عام الشئون القانونية</t>
  </si>
  <si>
    <t>مدير عام الدارة الهندسية</t>
  </si>
  <si>
    <t>مدير عام تكنولوجيا النظم والمعلومات</t>
  </si>
  <si>
    <t>مدير عام ادارة الستكشاف</t>
  </si>
  <si>
    <t>مدير عام المراقبه والرقابه الداخلية</t>
  </si>
  <si>
    <t>مديرعام المراجعه والرقابة الداخلية</t>
  </si>
  <si>
    <t>مدير عام التكاليف والموازنة</t>
  </si>
  <si>
    <t>مدير عام الشئون المالية والدارية</t>
  </si>
  <si>
    <t>مدير عام الشىون المالية والموارد البشرية</t>
  </si>
  <si>
    <t>مدير عام التخطيط ومراقبة المنتجات</t>
  </si>
  <si>
    <t>مدير عام الشئون الفنية والبحرية</t>
  </si>
  <si>
    <t>مدير عام الشئون التجارية</t>
  </si>
  <si>
    <t>مدير عام</t>
  </si>
  <si>
    <t>مدير عام المن</t>
  </si>
  <si>
    <t>مدير عام المخازن</t>
  </si>
  <si>
    <t>مدير عام التأمينات</t>
  </si>
  <si>
    <t>مدير عام الجودة</t>
  </si>
  <si>
    <t>نائب مدير عام</t>
  </si>
  <si>
    <t>مدير عام مساعد</t>
  </si>
  <si>
    <t>مدير عام مول</t>
  </si>
  <si>
    <t>مدير عام عمليات</t>
  </si>
  <si>
    <t>مساعد العضو المنتدب</t>
  </si>
  <si>
    <t>مدير عام مكتب العضو المنتدب</t>
  </si>
  <si>
    <t>عضو مجلس اداره منتدب</t>
  </si>
  <si>
    <t>عضو مجلس الدارة والمدير العام</t>
  </si>
  <si>
    <t>عضو مجلس ادارة</t>
  </si>
  <si>
    <t>رئيس قطاعات</t>
  </si>
  <si>
    <t>رئيس قطاعات التنفيذ</t>
  </si>
  <si>
    <t>رئيس قطاعات المالية والقانونية</t>
  </si>
  <si>
    <t>رئيس  قطاع</t>
  </si>
  <si>
    <t>رئيس قطاع الشئون القانونية</t>
  </si>
  <si>
    <t>رئيس القطاع الدارى</t>
  </si>
  <si>
    <t>رئيس  قطاع الشئون المالية</t>
  </si>
  <si>
    <t>رئيس  القطاع التجارى</t>
  </si>
  <si>
    <t>رئيس  قطاع مالى وادارى</t>
  </si>
  <si>
    <t>رئيس  قطاع التسويق</t>
  </si>
  <si>
    <t>رئيس قطاع المشتريات</t>
  </si>
  <si>
    <t>رئيس  قطاع العطاءات والمكاتب الفنية</t>
  </si>
  <si>
    <t>رئيس قطاع خدمات مابعد البيع</t>
  </si>
  <si>
    <t>رئيس  قطاع العلقات العامة والحكومية وغير الحكومية</t>
  </si>
  <si>
    <t>رئيس  قطاع العمليات</t>
  </si>
  <si>
    <t>رئيس  قطاع الضرائب</t>
  </si>
  <si>
    <t>رئيس  قطاع المخازن</t>
  </si>
  <si>
    <t>رئيس قطاع الصناعة</t>
  </si>
  <si>
    <t>رئيس قطاع المعامل</t>
  </si>
  <si>
    <t>رئيس قطاع المصانع والمعدات</t>
  </si>
  <si>
    <t>رئيس قطاع الموارد البشرية</t>
  </si>
  <si>
    <t>رئيس قطاع التخطيط ومراقبة النتاج</t>
  </si>
  <si>
    <t>رئيس قطاع النتاج</t>
  </si>
  <si>
    <t>رئيس  قطاع التدريب وتنمية الداء</t>
  </si>
  <si>
    <t>مشرف قطاع التقييم</t>
  </si>
  <si>
    <t>نائـب</t>
  </si>
  <si>
    <t>نائب رئيس  قطاع</t>
  </si>
  <si>
    <t>نائب رئيس شركة</t>
  </si>
  <si>
    <t>رئيس قطاع تكنولوجيا المعلومات والتصالت</t>
  </si>
  <si>
    <t>نائب رئيس امناء</t>
  </si>
  <si>
    <t>نائب رئيس  الجامعة</t>
  </si>
  <si>
    <t>نائب رئيس  مجلس  اداره</t>
  </si>
  <si>
    <t>نائب مدير مصنع</t>
  </si>
  <si>
    <t>نائب مدير شركة</t>
  </si>
  <si>
    <t>نائب مدير محطة</t>
  </si>
  <si>
    <t>نائب مدير السلمة والجودة</t>
  </si>
  <si>
    <t>نائب مدير مبيعات</t>
  </si>
  <si>
    <t>نائب رئيس مجلس ادارة للشئون المالية والداريه</t>
  </si>
  <si>
    <t>مدير منطقة</t>
  </si>
  <si>
    <t>نائب رئيس  طقم</t>
  </si>
  <si>
    <t>مدير منطقة طبية</t>
  </si>
  <si>
    <t>مدير تشغيل</t>
  </si>
  <si>
    <t>مدير تشغيل معدات</t>
  </si>
  <si>
    <t>مدير افران خزف وصينى</t>
  </si>
  <si>
    <t>مسئول اول مشتريات</t>
  </si>
  <si>
    <t>مدير صيانه</t>
  </si>
  <si>
    <t>مساعد صيانة</t>
  </si>
  <si>
    <t>مدير الصيانة الكهربائية</t>
  </si>
  <si>
    <t>مدير مبيعات</t>
  </si>
  <si>
    <t>مدير مشتريات ولوجستيك</t>
  </si>
  <si>
    <t>مدير علقات عامه</t>
  </si>
  <si>
    <t>مدير علقات</t>
  </si>
  <si>
    <t>مسئول علقات عامة</t>
  </si>
  <si>
    <t>مشرف علقات عامة</t>
  </si>
  <si>
    <t>مدير التصال والعلم</t>
  </si>
  <si>
    <t>مديرقسم الضيافة</t>
  </si>
  <si>
    <t>رئيس قسم اتيكيت</t>
  </si>
  <si>
    <t>رئيس قسم التصميمات والدعاية</t>
  </si>
  <si>
    <t>مدير ادارة العلقات الخارجية</t>
  </si>
  <si>
    <t>مدير ادارة علقات المساهمين والبورصة</t>
  </si>
  <si>
    <t>مدير تسويق الكترونى</t>
  </si>
  <si>
    <t>مدير ادارة التسويق</t>
  </si>
  <si>
    <t>رئيس قسم تسويق وحمايه الصناف النباتيه</t>
  </si>
  <si>
    <t>رئيس قسم التسويق والحجز</t>
  </si>
  <si>
    <t>رئيس قسم الدعم الفنى</t>
  </si>
  <si>
    <t>مدير ادارة مشتريات</t>
  </si>
  <si>
    <t>رئيس قسم المشتريات المحلية</t>
  </si>
  <si>
    <t>رئيس قسم مشتريات</t>
  </si>
  <si>
    <t>مساعد مدير مشتريات</t>
  </si>
  <si>
    <t>رئيس قسم الموارد البشريه</t>
  </si>
  <si>
    <t>رئيس قسم العلقات</t>
  </si>
  <si>
    <t>رئيس قسم العلقات الحكومية والغير حكومية</t>
  </si>
  <si>
    <t>رئيس قسم التحقيقات</t>
  </si>
  <si>
    <t>رئيس قسم لوجيستيك</t>
  </si>
  <si>
    <t>رئيس قسم التصالت وشبكات المعلومات</t>
  </si>
  <si>
    <t>رئيس  قسم التصالت</t>
  </si>
  <si>
    <t>رئيس قسم شبكات كمبيوتر</t>
  </si>
  <si>
    <t>رئيس قسم التعينات</t>
  </si>
  <si>
    <t>مدير ادارة مخازن</t>
  </si>
  <si>
    <t>نائب مدير مخازن</t>
  </si>
  <si>
    <t>مدير مخزن</t>
  </si>
  <si>
    <t>مدير السلمة والجودة</t>
  </si>
  <si>
    <t>مدير ادارة العقود</t>
  </si>
  <si>
    <t>مدير ادارة الخريجين</t>
  </si>
  <si>
    <t>مدير ادارة رعاية الطلب</t>
  </si>
  <si>
    <t>مدير ادارة  الستعلمات والتحقيقات</t>
  </si>
  <si>
    <t>مدير ادارة التصدير</t>
  </si>
  <si>
    <t>مدير ادارة المخاطر</t>
  </si>
  <si>
    <t>مدير ادارة السواق الخارجية</t>
  </si>
  <si>
    <t>مدير ادارة التداول اللكترونى</t>
  </si>
  <si>
    <t>مدير ادارة تكنولوجيا المعلومات</t>
  </si>
  <si>
    <t>مدير ادارة العلقات العامة</t>
  </si>
  <si>
    <t>مدير ادارة العلقات الحكومية</t>
  </si>
  <si>
    <t>مدير ادارة الدعاية</t>
  </si>
  <si>
    <t>مدير ادارة الجور والمزايا</t>
  </si>
  <si>
    <t>مدير ادارة خدمة مابعد البيع</t>
  </si>
  <si>
    <t>مدير ادارة الموازنة والضرائب</t>
  </si>
  <si>
    <t>مدير ادارة الرقابه علي الجوده</t>
  </si>
  <si>
    <t>مدير ادارة الميكروبيولوجى</t>
  </si>
  <si>
    <t>مدير ادارة البيئة</t>
  </si>
  <si>
    <t>مدير ادارة التنظيم واساليب العمل</t>
  </si>
  <si>
    <t>مدير ادارة تشغيل</t>
  </si>
  <si>
    <t>مدير ادارة السكرتارية</t>
  </si>
  <si>
    <t>مشرف ميكروبيولوجى</t>
  </si>
  <si>
    <t>مدير ادارة الحفر</t>
  </si>
  <si>
    <t>مدير وحده في منشاءه ماليه</t>
  </si>
  <si>
    <t>مدير تمويل</t>
  </si>
  <si>
    <t>مدير استثمار</t>
  </si>
  <si>
    <t>مدير ائتمان</t>
  </si>
  <si>
    <t>مدير تصدير</t>
  </si>
  <si>
    <t>مدير موازنة</t>
  </si>
  <si>
    <t>مدير امداد</t>
  </si>
  <si>
    <t>مدير جودة</t>
  </si>
  <si>
    <t>مدير دعم فنى</t>
  </si>
  <si>
    <t>مدير تحصيل</t>
  </si>
  <si>
    <t>مدير الجور والتأمينات</t>
  </si>
  <si>
    <t>مدير ادارة الستيراد والتصدير</t>
  </si>
  <si>
    <t>اخصائى استيراد وتصدير</t>
  </si>
  <si>
    <t>مدير اقليمى</t>
  </si>
  <si>
    <t>مدير اقليمى للموارد البشرية</t>
  </si>
  <si>
    <t>مدير مصنــع</t>
  </si>
  <si>
    <t xml:space="preserve">مدير معرض </t>
  </si>
  <si>
    <t>مدير محطة</t>
  </si>
  <si>
    <t>مدير التوظيف</t>
  </si>
  <si>
    <t>مدير تطبيقات</t>
  </si>
  <si>
    <t>مدير وحده</t>
  </si>
  <si>
    <t>مدير فرع</t>
  </si>
  <si>
    <t>مدير وحده في منشاءه تامين</t>
  </si>
  <si>
    <t>مدير وحده في اعمال النقل</t>
  </si>
  <si>
    <t>مدير وحده في اعمال المواصلت</t>
  </si>
  <si>
    <t>مدير وحده في اعمال التخزين</t>
  </si>
  <si>
    <t>مدير ادارة المداد والتموين</t>
  </si>
  <si>
    <t>مدير ادارة شئون قانونية</t>
  </si>
  <si>
    <t>مدير ادارة القضايا</t>
  </si>
  <si>
    <t>اخصائى شئون قانونية</t>
  </si>
  <si>
    <t>نائب مدير الدارة القانونية</t>
  </si>
  <si>
    <t>مدير ادارة الشئون الداريه</t>
  </si>
  <si>
    <t>مدير ادارة شئون العاملين</t>
  </si>
  <si>
    <t>مدير الدارة الهندسية</t>
  </si>
  <si>
    <t>مدير ادارة الشئون الداريه والمنشآت</t>
  </si>
  <si>
    <t>مدير امن</t>
  </si>
  <si>
    <t>مدير امن صناعى</t>
  </si>
  <si>
    <t>نائب أمن</t>
  </si>
  <si>
    <t>مدير امن بشركة</t>
  </si>
  <si>
    <t>خبير أمن</t>
  </si>
  <si>
    <t>مدير قسم الكاميرات والمراقبة الداخلية</t>
  </si>
  <si>
    <t>مدير ادارة البحاث والتطوير</t>
  </si>
  <si>
    <t>مدير ادارة تطوير العمال</t>
  </si>
  <si>
    <t>مدير اول ادارة تطوير وتفعيل المنتجات</t>
  </si>
  <si>
    <t>مدير ادارة المبيعات</t>
  </si>
  <si>
    <t>مدير ادارة مراقبة انظمة المبيعات</t>
  </si>
  <si>
    <t>مدير ادارة هندسة التصنيع</t>
  </si>
  <si>
    <t>نائب مدير ادارة التخطيط</t>
  </si>
  <si>
    <t>مدير ادارة حسابات الضرائب</t>
  </si>
  <si>
    <t>مدير ادارة التكاليف</t>
  </si>
  <si>
    <t>مدير ادارة مركز صيانة الشبكة</t>
  </si>
  <si>
    <t>مدير ادارة الحسابات والتكاليف</t>
  </si>
  <si>
    <t>مدير مركز حاسب آلي</t>
  </si>
  <si>
    <t>مدير ادارة البنية التحتية المعلوماتية</t>
  </si>
  <si>
    <t>مدير ادارة التدريب بالحاسب اللى</t>
  </si>
  <si>
    <t>مدير ادارة التطبيقات بالحاسب اللى</t>
  </si>
  <si>
    <t>مدير تكنولوجيا المعلومات</t>
  </si>
  <si>
    <t>مدير ادارة الحاسب اللى</t>
  </si>
  <si>
    <t>مشرف تكنولوجيا المعلومات</t>
  </si>
  <si>
    <t>مدير القطاع الفنى التجارى</t>
  </si>
  <si>
    <t>مدير القطاع التجارى القليمى</t>
  </si>
  <si>
    <t>مدير قطاع مالى</t>
  </si>
  <si>
    <t>مدير قطاع ادارى</t>
  </si>
  <si>
    <t>مدير قطاع التدريب والتنمية</t>
  </si>
  <si>
    <t>مدير قطاع</t>
  </si>
  <si>
    <t>مدير قطاع الشئون القانونية</t>
  </si>
  <si>
    <t>مدير عام الموارد البشرية</t>
  </si>
  <si>
    <t>مدير عام العلقات العامة</t>
  </si>
  <si>
    <t>مدير ادارة الموارد البشرية</t>
  </si>
  <si>
    <t>مدير ادارة الطب الرياضى</t>
  </si>
  <si>
    <t>(مدير شئون عاملين ( مدير موارد بشرية</t>
  </si>
  <si>
    <t>مشرف موارد بشرية</t>
  </si>
  <si>
    <t>مسئول موارد بشرية</t>
  </si>
  <si>
    <t>نائب مدير ادارة شئون العاملين</t>
  </si>
  <si>
    <t>نائب مدير ادارة الموارد البشريه</t>
  </si>
  <si>
    <t>نائب مدير ادارة المشتريات</t>
  </si>
  <si>
    <t>مشرف علقات عمل</t>
  </si>
  <si>
    <t>اخصائى تطوير عمليات</t>
  </si>
  <si>
    <t>منفذ عمليات</t>
  </si>
  <si>
    <t>محلل عمليات</t>
  </si>
  <si>
    <t>منسق عمليات</t>
  </si>
  <si>
    <t>مشرف عمليات</t>
  </si>
  <si>
    <t>محلل مالى</t>
  </si>
  <si>
    <t>مدير مالي</t>
  </si>
  <si>
    <t>مدير مالى وادارى</t>
  </si>
  <si>
    <t>مدير ادارى</t>
  </si>
  <si>
    <t>اخصائى موازنة</t>
  </si>
  <si>
    <t>مسئول اول حسابات عملء</t>
  </si>
  <si>
    <t>مسئول حسابات عملء</t>
  </si>
  <si>
    <t>مسئول اول خدمة عملء</t>
  </si>
  <si>
    <t>مدير حساب عملء</t>
  </si>
  <si>
    <t>مدير حسابات</t>
  </si>
  <si>
    <t>منسق مالى</t>
  </si>
  <si>
    <t>مدير مراجعه</t>
  </si>
  <si>
    <t>نائب مدير مراجعه</t>
  </si>
  <si>
    <t>مدير الشئون الفنية</t>
  </si>
  <si>
    <t>مدير البنية التحتية</t>
  </si>
  <si>
    <t>مدير تخطيط ومتابعه</t>
  </si>
  <si>
    <t>مساعد مدير تخطيط</t>
  </si>
  <si>
    <t>مساعد مدير محطة</t>
  </si>
  <si>
    <t>اخصائى متابعة</t>
  </si>
  <si>
    <t>مدير تجاري عدا منشات تجاره الجمله</t>
  </si>
  <si>
    <t>مدير أو مشرف اداري</t>
  </si>
  <si>
    <t>نائب مدير ادارة</t>
  </si>
  <si>
    <t>مسـاعد</t>
  </si>
  <si>
    <t>مساعد مدير</t>
  </si>
  <si>
    <t>مساعد مدير عام</t>
  </si>
  <si>
    <t>مساعد مدير قسم الكاميرات والمراقبة الداخلية</t>
  </si>
  <si>
    <t>مساعد رئيس شركة</t>
  </si>
  <si>
    <t>مساعد مدير حسابات</t>
  </si>
  <si>
    <t>مساعد مدير شئون العاملين</t>
  </si>
  <si>
    <t>مساعد موارد بشرية</t>
  </si>
  <si>
    <t>مساعد تنفيذى</t>
  </si>
  <si>
    <t>مساعد امن</t>
  </si>
  <si>
    <t>منسـق</t>
  </si>
  <si>
    <t>منسق علقات خارجية</t>
  </si>
  <si>
    <t>منسق شئون عاملين</t>
  </si>
  <si>
    <t>منسق مواد وخامات انتاج</t>
  </si>
  <si>
    <t xml:space="preserve">منسق معارض </t>
  </si>
  <si>
    <t>منسق نظم معلومات</t>
  </si>
  <si>
    <t>منسق امن صناعى</t>
  </si>
  <si>
    <t>منسق علقات امنيه</t>
  </si>
  <si>
    <t>منسق الوثائق والمستندات</t>
  </si>
  <si>
    <t>منسق جمارك ومناطق حرة</t>
  </si>
  <si>
    <t>ممثل خدمة العملء</t>
  </si>
  <si>
    <t>فنى خدمة عملء</t>
  </si>
  <si>
    <t>فنى متابعة عملء</t>
  </si>
  <si>
    <t>مدير فنى</t>
  </si>
  <si>
    <t>مدير بحوث ودراسات التسويق</t>
  </si>
  <si>
    <t>مشرف خدمة عملء</t>
  </si>
  <si>
    <t>موظف خدمة عملء</t>
  </si>
  <si>
    <t>مامور خدمة عملء</t>
  </si>
  <si>
    <t>مدير معامـل</t>
  </si>
  <si>
    <t>مدير خدمة عملء</t>
  </si>
  <si>
    <t>مدير مشروعات</t>
  </si>
  <si>
    <t>مساعد مدير مشروعات</t>
  </si>
  <si>
    <t>مدير عمليات</t>
  </si>
  <si>
    <t>مدير المشروعات النشائيه</t>
  </si>
  <si>
    <t>مهندس مشروعات</t>
  </si>
  <si>
    <t>منسق مشروعات</t>
  </si>
  <si>
    <t>مدير الشئون الهندسية</t>
  </si>
  <si>
    <t>مدير علقات صناعيه</t>
  </si>
  <si>
    <t>مستشار تجاري</t>
  </si>
  <si>
    <t>ممثل تجاري</t>
  </si>
  <si>
    <t>مستشار اقتصادى</t>
  </si>
  <si>
    <t>مستشار مالى</t>
  </si>
  <si>
    <t>مستشار تسويق واعلم</t>
  </si>
  <si>
    <t>مستشار نظم ومعلومات</t>
  </si>
  <si>
    <t>استشارى نظم معلومات</t>
  </si>
  <si>
    <t>محلل سياسى</t>
  </si>
  <si>
    <t>محلل تسويق</t>
  </si>
  <si>
    <t>محلل مبيعات</t>
  </si>
  <si>
    <t>منسق مبيعات</t>
  </si>
  <si>
    <t>محلل اوراق مالية</t>
  </si>
  <si>
    <t>مقاول - مدير اعمال مقاولت</t>
  </si>
  <si>
    <t>مساح حر</t>
  </si>
  <si>
    <t>مدير املك عقاريه اراضي او مباني</t>
  </si>
  <si>
    <t>مديرو العمال الخرون</t>
  </si>
  <si>
    <t>مساعد رئيس الخدمات</t>
  </si>
  <si>
    <t>مساعد رئيس  طقم</t>
  </si>
  <si>
    <t>مساعد رئيس  العمال</t>
  </si>
  <si>
    <t>مساعد رئيس  الورشة</t>
  </si>
  <si>
    <t>مساعد رئيس  سائقين</t>
  </si>
  <si>
    <t>رئيس  قسم حجز تذاكر</t>
  </si>
  <si>
    <t>رئيس  وحدة</t>
  </si>
  <si>
    <t>رئيس  وحده كتابيه</t>
  </si>
  <si>
    <t>رئيس  ورديه</t>
  </si>
  <si>
    <t>مهندس  وردية</t>
  </si>
  <si>
    <t>رئيس غرفة سيطرة</t>
  </si>
  <si>
    <t>نائب رئيس غرفة سيطرة</t>
  </si>
  <si>
    <t>رئيس  سائقين</t>
  </si>
  <si>
    <t>رئيس  حرفة</t>
  </si>
  <si>
    <t>مسـئول</t>
  </si>
  <si>
    <t>مسئول ادارة السيارات</t>
  </si>
  <si>
    <t>مسئول حركة ونقل</t>
  </si>
  <si>
    <t>مسئول بيع</t>
  </si>
  <si>
    <t>مسئول أمن معلومات</t>
  </si>
  <si>
    <t>مسئول اساسى تطبيقات</t>
  </si>
  <si>
    <t>مسئول تركيب شبكات</t>
  </si>
  <si>
    <t>مسئول مشتريات</t>
  </si>
  <si>
    <t>مسئول خزينة</t>
  </si>
  <si>
    <t>مسؤل شحن</t>
  </si>
  <si>
    <t>مسؤل مكافحة غسيل اموال</t>
  </si>
  <si>
    <t>مسئول شئون طلبه</t>
  </si>
  <si>
    <t>مسئول نظم ومعلومات</t>
  </si>
  <si>
    <t>مسئول شبكات ونظم المعلومات</t>
  </si>
  <si>
    <t>مسئول قواعد بيانات</t>
  </si>
  <si>
    <t>مسئول تسويق</t>
  </si>
  <si>
    <t>مسئول تخطيط ومتابعه</t>
  </si>
  <si>
    <t>مسئول مبيعات</t>
  </si>
  <si>
    <t>مسئول تشغيل</t>
  </si>
  <si>
    <t>مسئول حفلت</t>
  </si>
  <si>
    <t>مسئول شئون ادارية</t>
  </si>
  <si>
    <t>موظف ادارة التدوال اللكترونى</t>
  </si>
  <si>
    <t>موظــف</t>
  </si>
  <si>
    <t>موظف اتصالت</t>
  </si>
  <si>
    <t>موظف مخازن بضائع مشتركة</t>
  </si>
  <si>
    <t>موظف منافذ</t>
  </si>
  <si>
    <t>موظف حركة</t>
  </si>
  <si>
    <t>موظف علقات عامة</t>
  </si>
  <si>
    <t>موظف شئون عاملين</t>
  </si>
  <si>
    <t>ادارى</t>
  </si>
  <si>
    <t>ادارى موارد بشرية</t>
  </si>
  <si>
    <t>ادارى جمارك ومناطق حرة</t>
  </si>
  <si>
    <t>ادارى عمليات</t>
  </si>
  <si>
    <t>موظف بقسم الكاميرات والمراقبة الداخلية</t>
  </si>
  <si>
    <t>موظف شئون قانونية</t>
  </si>
  <si>
    <t>مساعد ادارى</t>
  </si>
  <si>
    <t>ادارى اول شبكات</t>
  </si>
  <si>
    <t>ادارى اول</t>
  </si>
  <si>
    <t>عمده - شيخ قبيله</t>
  </si>
  <si>
    <t>شيخ بلد</t>
  </si>
  <si>
    <t>محضر</t>
  </si>
  <si>
    <t>مدير الشحن</t>
  </si>
  <si>
    <t>مدير شحن جوى</t>
  </si>
  <si>
    <t>كاتب شحن وتفريغ</t>
  </si>
  <si>
    <t xml:space="preserve">مسئول معرض </t>
  </si>
  <si>
    <t>مسئول محل تجارى</t>
  </si>
  <si>
    <t>مسئول منطقة</t>
  </si>
  <si>
    <t>مسئول مكتبه</t>
  </si>
  <si>
    <t>مسئول اعلمى</t>
  </si>
  <si>
    <t>مسئول اقليمى - علقات دولية</t>
  </si>
  <si>
    <t>مسئول تداول مفرقعات</t>
  </si>
  <si>
    <t>امين شونه</t>
  </si>
  <si>
    <t>منسق صيانة</t>
  </si>
  <si>
    <t>كاتب</t>
  </si>
  <si>
    <t>مختزل</t>
  </si>
  <si>
    <t>كاتبه اله كاتبه</t>
  </si>
  <si>
    <t>كاتب علي التلغراف</t>
  </si>
  <si>
    <t xml:space="preserve">كاتب تلغراف - جهاز موريس </t>
  </si>
  <si>
    <t xml:space="preserve">كاتب تلكس </t>
  </si>
  <si>
    <t>كتبه الختزال واللت الكاتبه</t>
  </si>
  <si>
    <t>منسق خدمة عملء</t>
  </si>
  <si>
    <t>عامل تشغيل ماكينه تثقيب البطاقات</t>
  </si>
  <si>
    <t>عامل تشغيل ماكينه مراجعه البطاقات</t>
  </si>
  <si>
    <t>ماسك دفاتر - عام</t>
  </si>
  <si>
    <t>كاتب دفتر</t>
  </si>
  <si>
    <t>صراف مكتب - أمين خزينه</t>
  </si>
  <si>
    <t>صراف بنك</t>
  </si>
  <si>
    <t>صراف محل تجاري</t>
  </si>
  <si>
    <t>صراف اموال اميريه</t>
  </si>
  <si>
    <t>محصل - عدا المحصلون بوسائل النقل</t>
  </si>
  <si>
    <t>صراف تذاكر - عدا المحصلون</t>
  </si>
  <si>
    <t>موظف حجز تذاكر بشركة سياحه</t>
  </si>
  <si>
    <t>موظف حجز تذاكر طيران</t>
  </si>
  <si>
    <t>صراف مطعم</t>
  </si>
  <si>
    <t>محاسب تكاليف</t>
  </si>
  <si>
    <t>مدير تكاليف</t>
  </si>
  <si>
    <t>كاتب حسابات تكاليف</t>
  </si>
  <si>
    <t>كاتب اجور</t>
  </si>
  <si>
    <t>كاتب شئون ماليه</t>
  </si>
  <si>
    <t>مدير الحسابات والتكاليف</t>
  </si>
  <si>
    <t>ماسكو الدفاتر والصرافون</t>
  </si>
  <si>
    <t>عامل قص ورق</t>
  </si>
  <si>
    <t>عامل تشغيل ماكينه مسك الدفاتر</t>
  </si>
  <si>
    <t>عامل تشغيل الت حاسبه</t>
  </si>
  <si>
    <t>عامل تشغيل ماكينات تبويب البطاقات</t>
  </si>
  <si>
    <t>عامل تشغيل ماكينه فرز البطاقات</t>
  </si>
  <si>
    <t>عامل تشغيل ماكينه تبويب البطاقات</t>
  </si>
  <si>
    <t>عامل تشغيل جهاز حاسب الكتروني</t>
  </si>
  <si>
    <t>مشغل أجهزة شحن وتموين السيارات بالغاز</t>
  </si>
  <si>
    <t>ناظر محطه بالسكه الحديد</t>
  </si>
  <si>
    <t>معاون محطه بالسكه الحديد</t>
  </si>
  <si>
    <t>رئيس  مكتب بريد - وكيل بريد</t>
  </si>
  <si>
    <t>رئيس  مكتب تلغراف وتليفون</t>
  </si>
  <si>
    <t>رئيس  جهاز حفر</t>
  </si>
  <si>
    <t>رئيس  حركـة</t>
  </si>
  <si>
    <t>مدير حركة</t>
  </si>
  <si>
    <t>اخصائى حركه</t>
  </si>
  <si>
    <t>مفتش  حركه بوسائل النقل البري</t>
  </si>
  <si>
    <t>ناظر محطه بوسائل النقل البري</t>
  </si>
  <si>
    <t>مفتش  بوسائل النقل البري</t>
  </si>
  <si>
    <t>مشـرف</t>
  </si>
  <si>
    <t>مشرف عام</t>
  </si>
  <si>
    <t>مشرف قسم</t>
  </si>
  <si>
    <t>مشرف عمال</t>
  </si>
  <si>
    <t>مشرف دهانات</t>
  </si>
  <si>
    <t xml:space="preserve">مشرف معرض </t>
  </si>
  <si>
    <t>مشرف ترويج/ دعاية</t>
  </si>
  <si>
    <t>مشرف تصاريح</t>
  </si>
  <si>
    <t>مشرف الدفاع المدنى والبيئة</t>
  </si>
  <si>
    <t>مشرف محطة</t>
  </si>
  <si>
    <t>مشرف صيانة</t>
  </si>
  <si>
    <t>مشرف ورديه</t>
  </si>
  <si>
    <t>مشرف لوجستيك</t>
  </si>
  <si>
    <t>مشرف خدمة</t>
  </si>
  <si>
    <t>مشرف فنى</t>
  </si>
  <si>
    <t>مشرف رسومات هندسيه</t>
  </si>
  <si>
    <t>مشرف اعمال مدنيه</t>
  </si>
  <si>
    <t>مشرف بوسائل المواصلت</t>
  </si>
  <si>
    <t>مشرف الشحن الجوى</t>
  </si>
  <si>
    <t xml:space="preserve">مدير طيران خاص </t>
  </si>
  <si>
    <t>ضابط حركه ارضية</t>
  </si>
  <si>
    <t>ضابط حجز ومبيعات</t>
  </si>
  <si>
    <t>ضابط مراقبه جويه</t>
  </si>
  <si>
    <t>ضابط شحــن</t>
  </si>
  <si>
    <t>مشرف مفقودات</t>
  </si>
  <si>
    <t>مشرف الحركة</t>
  </si>
  <si>
    <t>ضابط مفقودات</t>
  </si>
  <si>
    <t>ضابط حركة</t>
  </si>
  <si>
    <t>مرحل طائرات</t>
  </si>
  <si>
    <t>مشرف خدمات الركاب</t>
  </si>
  <si>
    <t>مشرف بوسائل النقل البحري</t>
  </si>
  <si>
    <t>مشرف بوسائل النقل النهري</t>
  </si>
  <si>
    <t>معاون بضائع بوسائل النقل</t>
  </si>
  <si>
    <t>عامل حركه/ عامل شحن جوى</t>
  </si>
  <si>
    <t>المشرفون علي اعمال النقل والمواصلت</t>
  </si>
  <si>
    <t>محصل قطار - كمساري</t>
  </si>
  <si>
    <t>محصل اتوبيس  او ترام او تروللي</t>
  </si>
  <si>
    <t>ملحظ عربه نوم واكل بالسكه الحديد</t>
  </si>
  <si>
    <t>المحصلون في وسائل النقل</t>
  </si>
  <si>
    <t>مندوب بريد</t>
  </si>
  <si>
    <t>فراز بمكتب بريد</t>
  </si>
  <si>
    <t>كاتب بمكتب بريد - موظف بريد</t>
  </si>
  <si>
    <t>موزع بريد</t>
  </si>
  <si>
    <t>ساعي بريد اهلي</t>
  </si>
  <si>
    <t>موزع اشتراكات</t>
  </si>
  <si>
    <t>موزع انابيب بوتاجاز</t>
  </si>
  <si>
    <t>عامل تشغيل تحويله بالتليفونات</t>
  </si>
  <si>
    <t>معاون تليفون - تليفونجي</t>
  </si>
  <si>
    <t>معاون تلغراف - تلغرافجي</t>
  </si>
  <si>
    <t>عامل تشغيل لسلكي بمحطه ارضيه</t>
  </si>
  <si>
    <t>ضابط لسلكي بالسفن</t>
  </si>
  <si>
    <t>ضابط لسلكي بالطائرات</t>
  </si>
  <si>
    <t xml:space="preserve">عامل سويتش </t>
  </si>
  <si>
    <t>عمال تشغيل التليفون والتلغراف</t>
  </si>
  <si>
    <t xml:space="preserve">موظف سويتش </t>
  </si>
  <si>
    <t>محاسب مخازن</t>
  </si>
  <si>
    <t>كبير امناء مخازن</t>
  </si>
  <si>
    <t>ے كاتب سجلت بالمخازن</t>
  </si>
  <si>
    <t>امين مخزن</t>
  </si>
  <si>
    <t>مساعد امين مخزن</t>
  </si>
  <si>
    <t>وزان - قباني</t>
  </si>
  <si>
    <t>كاتب سجلت المواد</t>
  </si>
  <si>
    <t>كاتب تخطيط النتاج</t>
  </si>
  <si>
    <t>كاتب لوجستيك</t>
  </si>
  <si>
    <t>- كاتب مراسلت وتقارير - عام</t>
  </si>
  <si>
    <t>كاتب شئون افراد</t>
  </si>
  <si>
    <t>كاتب شئون قضائيه</t>
  </si>
  <si>
    <t>كاتب اعمال التامين</t>
  </si>
  <si>
    <t>كاتب محامي</t>
  </si>
  <si>
    <t>كاتب عمومي</t>
  </si>
  <si>
    <t>كتبه المراسلت والتقارير</t>
  </si>
  <si>
    <t>كاتب استقبال - عام</t>
  </si>
  <si>
    <t>كاتب استقبال بالفنادق</t>
  </si>
  <si>
    <t>كاتب استقبال بمستشفي او عياده</t>
  </si>
  <si>
    <t>كاتب سياحه</t>
  </si>
  <si>
    <t>معد برامج اضاءة</t>
  </si>
  <si>
    <t>مدير مناوب</t>
  </si>
  <si>
    <t>مدير ليلى</t>
  </si>
  <si>
    <t>كتبه الستقبال وتنظيم السفر</t>
  </si>
  <si>
    <t>كاتب مكتبه</t>
  </si>
  <si>
    <t>كاتب محفوظات</t>
  </si>
  <si>
    <t>فنى ممتاز</t>
  </si>
  <si>
    <t>فنى اول</t>
  </si>
  <si>
    <t>كاتب احصاءات</t>
  </si>
  <si>
    <t>كاتب ترميز - مرمز</t>
  </si>
  <si>
    <t>كاتب ميزانيه</t>
  </si>
  <si>
    <t>قراض  تذاكر</t>
  </si>
  <si>
    <t>قاريء بروفات بالمطابع</t>
  </si>
  <si>
    <t>قاريء عدادات</t>
  </si>
  <si>
    <t>كاتب انتاج</t>
  </si>
  <si>
    <t>مدير تخليص جمركى</t>
  </si>
  <si>
    <t>اخصائى تخليص جمركى</t>
  </si>
  <si>
    <t>اخصائى استثمار وجمارك</t>
  </si>
  <si>
    <t>مخلص  بالجمارك</t>
  </si>
  <si>
    <t>منسق تصاريح</t>
  </si>
  <si>
    <t>الكتبه الذين لم ترد مهنهم</t>
  </si>
  <si>
    <t>مدير في عمليات تجاره الجمله</t>
  </si>
  <si>
    <t>مدير في عمليات تجاره التجزئه</t>
  </si>
  <si>
    <t>صاحب عمل ويديره في تجاره الجمله</t>
  </si>
  <si>
    <t>صاحب عمل ويديره في تجاره التجزئه</t>
  </si>
  <si>
    <t>مشرف علي البيع - رئيس  بيع</t>
  </si>
  <si>
    <t>مشرف بوحده انتاجيه</t>
  </si>
  <si>
    <t>مشرف تصديـر</t>
  </si>
  <si>
    <t>اخصائى وزن</t>
  </si>
  <si>
    <t>اخصائى تسعير وتوزيع</t>
  </si>
  <si>
    <t>مشرف توزيع</t>
  </si>
  <si>
    <t>اخصائى تصدير</t>
  </si>
  <si>
    <t>منـدوب</t>
  </si>
  <si>
    <t>مندوب صيانه</t>
  </si>
  <si>
    <t xml:space="preserve">مندوب تراخيص </t>
  </si>
  <si>
    <t>مندوب امن وحراسه</t>
  </si>
  <si>
    <t>مندوب بنك</t>
  </si>
  <si>
    <t>مستخلص تراخيص أجانب</t>
  </si>
  <si>
    <t>مندوب خدمات</t>
  </si>
  <si>
    <t>مندوب تجهيزات</t>
  </si>
  <si>
    <t>مندوب جودة</t>
  </si>
  <si>
    <t>مندوب تشغيل ماكينات</t>
  </si>
  <si>
    <t>وكيــل</t>
  </si>
  <si>
    <t>وكيل قسم</t>
  </si>
  <si>
    <t>وكيل ادارة</t>
  </si>
  <si>
    <t>وكيل الدارة المالية</t>
  </si>
  <si>
    <t xml:space="preserve">وكيل مفوض </t>
  </si>
  <si>
    <t>مساعد اخصائى تدخل مبكر</t>
  </si>
  <si>
    <t>مساعد اخصائى تكنولوجيا تعليم ذوى العاقة</t>
  </si>
  <si>
    <t>مساعد اخصائى تاهيل لمتعددى العاقة</t>
  </si>
  <si>
    <t>مساعد اخصائى لغة اشارة الصم</t>
  </si>
  <si>
    <t>مساعد اخصائى تنمية مهارات موهوبين</t>
  </si>
  <si>
    <t>مساعد اخصائى نفسى اكلينيكى</t>
  </si>
  <si>
    <t>مساعد اخصائى تاهيل صم وبكم</t>
  </si>
  <si>
    <t>مساعد اخصائى في مجال ذوى الحتياجات</t>
  </si>
  <si>
    <t>مندوب مشتريات</t>
  </si>
  <si>
    <t>وكيل مشتريات</t>
  </si>
  <si>
    <t>مندوب تعبئه</t>
  </si>
  <si>
    <t>مندوب اعلنات</t>
  </si>
  <si>
    <t>مندوب لوجستيك</t>
  </si>
  <si>
    <t>مندوب مالى وادارى</t>
  </si>
  <si>
    <t>مندوب قضائى</t>
  </si>
  <si>
    <t>مندوب تعاقد</t>
  </si>
  <si>
    <t>مندوب تحصيل</t>
  </si>
  <si>
    <t>مندوب تسويق</t>
  </si>
  <si>
    <t>مندوب دعم فنى</t>
  </si>
  <si>
    <t>بائع فني</t>
  </si>
  <si>
    <t>مقدم استشارات فنيه للمشترين</t>
  </si>
  <si>
    <t>مندوب مبيعات</t>
  </si>
  <si>
    <t>اخصائى بيع بالتليفون</t>
  </si>
  <si>
    <t>(جوال تجارى (أبلسيه - مندوب بيع</t>
  </si>
  <si>
    <t>مندوب توزيع</t>
  </si>
  <si>
    <t>وكيل توزيع منتجات مصنع</t>
  </si>
  <si>
    <t>مندوب بيع بالتليفون</t>
  </si>
  <si>
    <t>مندوب اختبارات</t>
  </si>
  <si>
    <t>مندوب صمامات</t>
  </si>
  <si>
    <t>بائع عقود تاءمين - منتج</t>
  </si>
  <si>
    <t>بائع عقود عقارات - سمسار عقارات</t>
  </si>
  <si>
    <t>بائع اوراق ماليه - سمسار اوراق</t>
  </si>
  <si>
    <t>وسطاء بيع عقود التاءمين</t>
  </si>
  <si>
    <t>وسيط تقديم خدمه في اعمال تجاريه - قومسيونجي</t>
  </si>
  <si>
    <t>وسيط اعلنات تجاريه</t>
  </si>
  <si>
    <t>خبير تقييم مساعد</t>
  </si>
  <si>
    <t>دلل مزادات - خبير مثمن للمزدات</t>
  </si>
  <si>
    <t>خبير تقييم اصول</t>
  </si>
  <si>
    <t>( صايغ  ( حواهرجى</t>
  </si>
  <si>
    <t>بائع في تجاره الجمله</t>
  </si>
  <si>
    <t>بائع في تجاره التجزئه</t>
  </si>
  <si>
    <t>عارضه ازياء - مانيكان</t>
  </si>
  <si>
    <t>عارض  بضائع</t>
  </si>
  <si>
    <t>(تسليم بضائع مباعه (كنترول</t>
  </si>
  <si>
    <t>عامل مخزن</t>
  </si>
  <si>
    <t>الباعه ومساعدوهم - الخرون</t>
  </si>
  <si>
    <t>بائع متجول</t>
  </si>
  <si>
    <t>بائع موزع - لبن - خبز</t>
  </si>
  <si>
    <t>بمبوطي - بائع متجول في البحر</t>
  </si>
  <si>
    <t>بائع متنقل في السواق</t>
  </si>
  <si>
    <t>بائع صحف</t>
  </si>
  <si>
    <t>تاجر مواشي متجول في السواق</t>
  </si>
  <si>
    <t>الباعه المتجولون والباعه المتنقلون</t>
  </si>
  <si>
    <t>مندوب دعايه طبيه</t>
  </si>
  <si>
    <t>( مندوب علمي ( دعايه</t>
  </si>
  <si>
    <t>مشرف دعايه طبيه</t>
  </si>
  <si>
    <t>القائمون باءعمال البيع الخرون</t>
  </si>
  <si>
    <t>رئيس  حلوانى</t>
  </si>
  <si>
    <t>حلــوانى</t>
  </si>
  <si>
    <t>شيف حلوانى</t>
  </si>
  <si>
    <t>مدير تشغيل المخبوزات والحلويات</t>
  </si>
  <si>
    <t>شيف تنفيذى</t>
  </si>
  <si>
    <t>شيف خباز</t>
  </si>
  <si>
    <t>مدير مطعم</t>
  </si>
  <si>
    <t>مدير مطاعم</t>
  </si>
  <si>
    <t>مساعد مدير مطعم</t>
  </si>
  <si>
    <t>معاون مطعم</t>
  </si>
  <si>
    <t>كابتن مطعم</t>
  </si>
  <si>
    <t>مدير ادارة الشىون الفندقيه</t>
  </si>
  <si>
    <t>مدير فندق</t>
  </si>
  <si>
    <t>مدير عام فندق</t>
  </si>
  <si>
    <t>نائب مدير فندق</t>
  </si>
  <si>
    <t>مدير الشراف الداخلى</t>
  </si>
  <si>
    <t>مساعد مدير الشراف الداخلى</t>
  </si>
  <si>
    <t>مدير حجــز</t>
  </si>
  <si>
    <t>اخصائى حجوزات</t>
  </si>
  <si>
    <t>متعهد حفلت</t>
  </si>
  <si>
    <t>مدير الستقبال</t>
  </si>
  <si>
    <t>نائب مدير استقبال</t>
  </si>
  <si>
    <t>مشرف حجز</t>
  </si>
  <si>
    <t>نائب مشرف</t>
  </si>
  <si>
    <t>موظف استقبال</t>
  </si>
  <si>
    <t>مشرف استقبال</t>
  </si>
  <si>
    <t>مسئول استقبال وأمن</t>
  </si>
  <si>
    <t>مدير اغذية ومشروبات</t>
  </si>
  <si>
    <t>مدير تدبير غرف</t>
  </si>
  <si>
    <t>مساعد مدير تدبير غرف</t>
  </si>
  <si>
    <t>المديرون في المطاعم والفنادق</t>
  </si>
  <si>
    <t>مدير المكاتب الماميه</t>
  </si>
  <si>
    <t>مشرف مكاتب اماميه</t>
  </si>
  <si>
    <t>موظف مكاتب امامية</t>
  </si>
  <si>
    <t>مدير حفلت</t>
  </si>
  <si>
    <t>مدير في الخدمات الترفيهيه</t>
  </si>
  <si>
    <t>موظف في الخدمات الترفيهيه</t>
  </si>
  <si>
    <t>مدير في الخدمات الشخصيه</t>
  </si>
  <si>
    <t>المديرون في الخدمات الترفيهيه</t>
  </si>
  <si>
    <t>(حامل حقائب (بلمان</t>
  </si>
  <si>
    <t>صاحب مطعم يعمل فيه</t>
  </si>
  <si>
    <t>صاحب كافيتريا يعمل فيها</t>
  </si>
  <si>
    <t>مشرف كافيتريا</t>
  </si>
  <si>
    <t>صاحب حانه - بار - يعمل فيه</t>
  </si>
  <si>
    <t>متر بار</t>
  </si>
  <si>
    <t>صاحب قهوه يعمل فيها</t>
  </si>
  <si>
    <t>صاحب فندق يعمل فيه</t>
  </si>
  <si>
    <t>صاحب بنسيون يعمل فيه</t>
  </si>
  <si>
    <t>صاحب صيدلية يعمل بها</t>
  </si>
  <si>
    <t>صاحب منشاه خدمات ترفيهيه يعمل فيها</t>
  </si>
  <si>
    <t>صاحب منشاه خدمات شخصيه يعمل فيها</t>
  </si>
  <si>
    <t>صاحب ومدير مكتب محاسبه</t>
  </si>
  <si>
    <t>صاحب ومدير شركة</t>
  </si>
  <si>
    <t>صاحب مكتب استشارات محاسبة للتامينات</t>
  </si>
  <si>
    <t>صاحب سياره</t>
  </si>
  <si>
    <t>صاحب عقار يقل ريعه عن 250 جنيه سنويا</t>
  </si>
  <si>
    <t>94/77 ورثه صاحب منشاه فرديه - قرار وزاري</t>
  </si>
  <si>
    <t>اصحاب المطاعم والفنادق ومنشات اخري</t>
  </si>
  <si>
    <t>مساعد رئيس  قسم بالمطبخ</t>
  </si>
  <si>
    <t>مشرف علي مسكن عام - فندق - مستشفي</t>
  </si>
  <si>
    <t xml:space="preserve">مشرف علي مسكن خاص </t>
  </si>
  <si>
    <t>مشرف ادوار</t>
  </si>
  <si>
    <t>مشرف غرف</t>
  </si>
  <si>
    <t>مشرف دار اقامة</t>
  </si>
  <si>
    <t>مشرف مضيفين</t>
  </si>
  <si>
    <t>مضيفه ـ مضيف جوى</t>
  </si>
  <si>
    <t>رئيس  طاقم</t>
  </si>
  <si>
    <t>رئيس مضيفين</t>
  </si>
  <si>
    <t>رئيس  صف فى الفنادق والمستشفيات</t>
  </si>
  <si>
    <t>رئيس  صف على سفينه</t>
  </si>
  <si>
    <t>مشرف ادارة الخدمات المعاونة</t>
  </si>
  <si>
    <t>اخصائى نظافة</t>
  </si>
  <si>
    <t>المشرفون علي رعايه ونظافه المنشاءت</t>
  </si>
  <si>
    <t>عامل مطبخ</t>
  </si>
  <si>
    <t>( رئيس  سفرجية ( متردوتيل</t>
  </si>
  <si>
    <t>نائب رئيس  المطبخ</t>
  </si>
  <si>
    <t>رئيس  طهاه - طباخين</t>
  </si>
  <si>
    <t>مساعد رئيس بالمطبخ</t>
  </si>
  <si>
    <t>مدير فنانى المطابخ</t>
  </si>
  <si>
    <t>مدير مطابخ</t>
  </si>
  <si>
    <t>مساعد طباخ</t>
  </si>
  <si>
    <t>( طاهى- طباخ ( شيـف</t>
  </si>
  <si>
    <t xml:space="preserve">طاه - طباخ - خاص </t>
  </si>
  <si>
    <t>طاه - طباخ علي سفينه</t>
  </si>
  <si>
    <t>( كبابجي ( شواء لحمة</t>
  </si>
  <si>
    <t>شـواء شاورمة</t>
  </si>
  <si>
    <t>شــواء فراخ</t>
  </si>
  <si>
    <t>طعمجي</t>
  </si>
  <si>
    <t>قلي سمك</t>
  </si>
  <si>
    <t>الطهاه - الخرون</t>
  </si>
  <si>
    <t>مشرف اغذية ومشروبات</t>
  </si>
  <si>
    <t>مضيفه - مضيف</t>
  </si>
  <si>
    <t>( جرسون ( مقدم طعام</t>
  </si>
  <si>
    <t>متلقى طلبات</t>
  </si>
  <si>
    <t>معبأ طلبات بمطعم</t>
  </si>
  <si>
    <t>خط امامى بمطعم</t>
  </si>
  <si>
    <t>خط خلفى بمطعم</t>
  </si>
  <si>
    <t>قهوجي - عامل بوفيه</t>
  </si>
  <si>
    <t>ساقي بارمان</t>
  </si>
  <si>
    <t>سفرجي</t>
  </si>
  <si>
    <t>معاون بوفيه</t>
  </si>
  <si>
    <t>الجرسونات والسقاه ومن اليهم</t>
  </si>
  <si>
    <t>( معاون منزل ( شغال</t>
  </si>
  <si>
    <t>عامل منزلى</t>
  </si>
  <si>
    <t>داده - مربيه</t>
  </si>
  <si>
    <t>وصيفه</t>
  </si>
  <si>
    <t>مرافق</t>
  </si>
  <si>
    <t>مشرف علي الخدمه علي سطح السفينه</t>
  </si>
  <si>
    <t>القائمون بالخدمه الشخصيه للعائلت</t>
  </si>
  <si>
    <t>بواب</t>
  </si>
  <si>
    <t>مبلغ ومقابل وارد</t>
  </si>
  <si>
    <t>فراش  - ساعي</t>
  </si>
  <si>
    <t>عامل تشغيل مصاعد</t>
  </si>
  <si>
    <t>عامل تشغيل ماكينه رفع المياه</t>
  </si>
  <si>
    <t>رئيس معاون خدمة</t>
  </si>
  <si>
    <t>معاون خدمه</t>
  </si>
  <si>
    <t>عامل خدمات معاونة</t>
  </si>
  <si>
    <t>معاون طقم</t>
  </si>
  <si>
    <t>خادم مسجد</t>
  </si>
  <si>
    <t>خادم كنيسه</t>
  </si>
  <si>
    <t>العاملون في رعايه المباني</t>
  </si>
  <si>
    <t>عامل نظافه عنبر وملحقاته</t>
  </si>
  <si>
    <t>عامل نشان وميزان بال</t>
  </si>
  <si>
    <t>- عامل هزازات وترمسيون - نظافه</t>
  </si>
  <si>
    <t>عمال نظافه حوش  وتضاريب</t>
  </si>
  <si>
    <t>عامل نظافة</t>
  </si>
  <si>
    <t>عامل تنظيف مباني ومنشاءت سكنيه</t>
  </si>
  <si>
    <t>عامل غسيل وكي - عام</t>
  </si>
  <si>
    <t xml:space="preserve">عامل تشغيل ماكينه غسيل الملبس </t>
  </si>
  <si>
    <t>عامل تشغيل ماكينه تنظيف علي الجاف</t>
  </si>
  <si>
    <t>عامله غسيل - غساله</t>
  </si>
  <si>
    <t xml:space="preserve">عامل تشغيل ماكينه كي الملبس </t>
  </si>
  <si>
    <t>عامل كي ملبس  - مكوجي - باليد</t>
  </si>
  <si>
    <t>العاملون في غسيل الملبس  والتنظيف</t>
  </si>
  <si>
    <t>عامل استلم بياضات</t>
  </si>
  <si>
    <t>حلق ومصفف شعر سيدات</t>
  </si>
  <si>
    <t>حلق ومصفف شعر رجال</t>
  </si>
  <si>
    <t>اخصائي تجميل</t>
  </si>
  <si>
    <t xml:space="preserve">مدلك حمام - مكيس </t>
  </si>
  <si>
    <t>عامل مكياج - ماكيير</t>
  </si>
  <si>
    <t>شرطي مطافي</t>
  </si>
  <si>
    <t>فنى اطفاء</t>
  </si>
  <si>
    <t xml:space="preserve">رجل مطافي خاص </t>
  </si>
  <si>
    <t>عامل اطفاء</t>
  </si>
  <si>
    <t>رجال المطافي والنقاذ</t>
  </si>
  <si>
    <t>شرطي</t>
  </si>
  <si>
    <t>شرطه مباحث - مخبر</t>
  </si>
  <si>
    <t>رجال الشرطه والمباحث - الخرون</t>
  </si>
  <si>
    <t>ضابط شرطه</t>
  </si>
  <si>
    <t>ضابط مباحث</t>
  </si>
  <si>
    <t>ضابط مطافي</t>
  </si>
  <si>
    <t>ضباط الشرطه - الخرون</t>
  </si>
  <si>
    <t xml:space="preserve">رئيس  حراس </t>
  </si>
  <si>
    <t>مشرف أول</t>
  </si>
  <si>
    <t>معاون امن ممتاز اول</t>
  </si>
  <si>
    <t>معاون امن ممتاز ثان</t>
  </si>
  <si>
    <t>معاون امن ممتاز</t>
  </si>
  <si>
    <t>معاون امن اول</t>
  </si>
  <si>
    <t>معاون امن ثان</t>
  </si>
  <si>
    <t>معاون امن ثالث</t>
  </si>
  <si>
    <t>مشرف امن</t>
  </si>
  <si>
    <t>مشرف امن صناعى</t>
  </si>
  <si>
    <t>فرد امن</t>
  </si>
  <si>
    <t xml:space="preserve">حارس  خاص </t>
  </si>
  <si>
    <t>عامل امن صناعى</t>
  </si>
  <si>
    <t>منسق امن</t>
  </si>
  <si>
    <t>مراقب امنى اول</t>
  </si>
  <si>
    <t>مراقب امنى ثانى</t>
  </si>
  <si>
    <t>خفير نظامي</t>
  </si>
  <si>
    <t>خفير خصوصي _ عامل حراسه</t>
  </si>
  <si>
    <t>سجان</t>
  </si>
  <si>
    <t>العاملون في خدمات المن والوقايه</t>
  </si>
  <si>
    <t>مدير ادارة الخدمات السياحيه</t>
  </si>
  <si>
    <t>مدير سياحة</t>
  </si>
  <si>
    <t>مدير سياحة دينية</t>
  </si>
  <si>
    <t>موظف سياحة دينية</t>
  </si>
  <si>
    <t>مندوب سياحة</t>
  </si>
  <si>
    <t>مرشد سياحي</t>
  </si>
  <si>
    <t>مندوب سياحه وطيران</t>
  </si>
  <si>
    <t>اخصائي تنظيم برامج سياحيه</t>
  </si>
  <si>
    <t>منسق برامج ثقافية</t>
  </si>
  <si>
    <t>مرافق مجموعات سياحيه</t>
  </si>
  <si>
    <t>مضيفه ارضيه</t>
  </si>
  <si>
    <t xml:space="preserve">منظم معارض </t>
  </si>
  <si>
    <t>مخطط</t>
  </si>
  <si>
    <t>مخطط انتاج</t>
  </si>
  <si>
    <t>حانوتي</t>
  </si>
  <si>
    <t>مغسل</t>
  </si>
  <si>
    <t>تربي</t>
  </si>
  <si>
    <t>الحانوتيه والتربيه ومن اليهم</t>
  </si>
  <si>
    <t>رجل اسعاف</t>
  </si>
  <si>
    <t>فراش  خيام</t>
  </si>
  <si>
    <t xml:space="preserve">عامل صباغه ملبس </t>
  </si>
  <si>
    <t>سايس  اسطبل</t>
  </si>
  <si>
    <t>سايس  جراج</t>
  </si>
  <si>
    <t>منادي سيارات</t>
  </si>
  <si>
    <t>ابونيه</t>
  </si>
  <si>
    <t>سقا</t>
  </si>
  <si>
    <t>ماشطه</t>
  </si>
  <si>
    <t>منوم مغناطيسي</t>
  </si>
  <si>
    <t>منجم</t>
  </si>
  <si>
    <t>قاريء كف</t>
  </si>
  <si>
    <t>صانع وشم - دقاق</t>
  </si>
  <si>
    <t xml:space="preserve">كناس </t>
  </si>
  <si>
    <t>ماسح احذيه</t>
  </si>
  <si>
    <t>جامع قمامه</t>
  </si>
  <si>
    <t>مسحراتي</t>
  </si>
  <si>
    <t xml:space="preserve">كاسح مراحيض </t>
  </si>
  <si>
    <t>( العاملون في الخدمات الخرون ( مراجيحي</t>
  </si>
  <si>
    <t>مدير مزرعه للنتاج العام</t>
  </si>
  <si>
    <t>مدير مزرعه للنتاج النباتي</t>
  </si>
  <si>
    <t>مدير مزرعه للنتاج الحيواني</t>
  </si>
  <si>
    <t>مدير مزرعه للنتاج السمكي</t>
  </si>
  <si>
    <t>مشرف  انتاج</t>
  </si>
  <si>
    <t>مشرف بمزرعه للنتاج العام</t>
  </si>
  <si>
    <t>مشرف بمزرعه للنتاج النباتي</t>
  </si>
  <si>
    <t>مشرف بمزرعه للنتاج الحيواني</t>
  </si>
  <si>
    <t>مشرف بمزرعه للنتاج السمكي</t>
  </si>
  <si>
    <t>مشرف الزراعه بالقريه</t>
  </si>
  <si>
    <t>فني - معاون - بمزرعه للنتاج العام</t>
  </si>
  <si>
    <t>فني - معاون - بمزرعه للنتاج النباتي</t>
  </si>
  <si>
    <t>فني  معاون  بمزرعه للنتاج الحيواني</t>
  </si>
  <si>
    <t>فني معمل انتاج حيواني</t>
  </si>
  <si>
    <t>فني  معاون  بمزرعه للنتاج السمكي</t>
  </si>
  <si>
    <t>المديرون والمشرفون في المزارع</t>
  </si>
  <si>
    <t>رئيس  قسم منتجات اللبان</t>
  </si>
  <si>
    <t>فلح او مزارع - حائز - عام</t>
  </si>
  <si>
    <t>الوجبات الجاهزه</t>
  </si>
  <si>
    <t>فلح او مزارع - حائز - متخصص  في الخضر</t>
  </si>
  <si>
    <t>فلح او مزارع - حائز - متخصص  في النباتات</t>
  </si>
  <si>
    <t>فلح او مزارع - حائز - متخصص  في الفاكهه</t>
  </si>
  <si>
    <t>فلح او مزارع - حائز - متخصص  في المشاتل</t>
  </si>
  <si>
    <t>فلح او مزارع - حائز -متخصص  في تربيه الحيوان</t>
  </si>
  <si>
    <t>الفلحون والمزارعون - الحائزون</t>
  </si>
  <si>
    <t>جناينـى</t>
  </si>
  <si>
    <t>عامل زراعه - عام</t>
  </si>
  <si>
    <t>عامل تذريه - مدراوي</t>
  </si>
  <si>
    <t>عامل غربله - مغربلتي - مقرقر</t>
  </si>
  <si>
    <t>خولي - مورد انفار</t>
  </si>
  <si>
    <t>عمال الزراعه غير المتخصصين</t>
  </si>
  <si>
    <t>عامل زراعه المحاصيل الحقليه</t>
  </si>
  <si>
    <t>عامل زراعه فاكهه</t>
  </si>
  <si>
    <t>بيع مستلزمات الديكور</t>
  </si>
  <si>
    <t>عامل تربيه حيوان  كلف</t>
  </si>
  <si>
    <t>عامل تربيه اغنام - غنام</t>
  </si>
  <si>
    <t>بيطار</t>
  </si>
  <si>
    <t>جساس  مواشي</t>
  </si>
  <si>
    <t>تومرجي بيطري</t>
  </si>
  <si>
    <t>قصاص  مواشي واغنام</t>
  </si>
  <si>
    <t>عمال تربيه الحيوان - الخرون</t>
  </si>
  <si>
    <t>عامل مزرعه انتاج البان - عام</t>
  </si>
  <si>
    <t>عامل حلب ماشيه اللبن - حلب</t>
  </si>
  <si>
    <t>عمال مزارع انتاج اللبان - الخرون</t>
  </si>
  <si>
    <t>عامل مزرعه دواجن - عام</t>
  </si>
  <si>
    <t>عامل معمل تفريخ الي</t>
  </si>
  <si>
    <t>عامل معمل تفريخ بلدي</t>
  </si>
  <si>
    <t>منسق زهور</t>
  </si>
  <si>
    <t>عامل مشتل</t>
  </si>
  <si>
    <t>عامل حدائق زينه</t>
  </si>
  <si>
    <t>سائق جرار زراعي</t>
  </si>
  <si>
    <t>عامل تشغيل ماكينه ري</t>
  </si>
  <si>
    <t xml:space="preserve">عامل تشغيل ماكينه دراس </t>
  </si>
  <si>
    <t xml:space="preserve">عامل تشغيل موتور رش </t>
  </si>
  <si>
    <t>عمال تشغيل اللت الزراعيه</t>
  </si>
  <si>
    <t>نحال - ريس  نحل</t>
  </si>
  <si>
    <t>مربي دوده القز</t>
  </si>
  <si>
    <t>عامل تبخير اشجار الفاكهه</t>
  </si>
  <si>
    <t>عامل تجارب - ملحظ تجارب</t>
  </si>
  <si>
    <t>بحاري بهندسه الري - راصد مناسيب</t>
  </si>
  <si>
    <t xml:space="preserve">دلل مساحه - قياس </t>
  </si>
  <si>
    <t>عمال الزراعه وتربيه الحيوان ومن اليهم</t>
  </si>
  <si>
    <t xml:space="preserve">صياد سمك شباك وبوص </t>
  </si>
  <si>
    <t>صياد سمك بمراكب اليه</t>
  </si>
  <si>
    <t>غطاس  اسفنج</t>
  </si>
  <si>
    <t>صياد المحار والقشريات</t>
  </si>
  <si>
    <t>صيادو البحر - الخرون</t>
  </si>
  <si>
    <t>صياد بر</t>
  </si>
  <si>
    <t>صياد طيور</t>
  </si>
  <si>
    <t>رئيس  حرفيين</t>
  </si>
  <si>
    <t>ملحـظ اومشرف</t>
  </si>
  <si>
    <t>ملحظ كهرباء</t>
  </si>
  <si>
    <t>ملحظ صيانه</t>
  </si>
  <si>
    <t>ملحظ مرافق</t>
  </si>
  <si>
    <t>ملحظ ميكانيكى معدات</t>
  </si>
  <si>
    <t>ملحظ اومشرف في استخراج الفحم</t>
  </si>
  <si>
    <t>مشرف كهرباء</t>
  </si>
  <si>
    <t>ملحظ اومشرف في استخراج الحديد</t>
  </si>
  <si>
    <t>ملحظ او مشرف في استخراج المواد</t>
  </si>
  <si>
    <t>ملحظ اومشرف في عمليات البترول</t>
  </si>
  <si>
    <t>ملحظ اومشرف في حفر البترول</t>
  </si>
  <si>
    <t>ملحظ اومشرف في عمليات المحاجر</t>
  </si>
  <si>
    <t>ملحظ اومشرف في عمليات الملحات</t>
  </si>
  <si>
    <t>ملحظ اومشرف في حفر ابار المياه</t>
  </si>
  <si>
    <t>ملحظ صب مستمر</t>
  </si>
  <si>
    <t>ملحظ اومشرف في الفرن العالي</t>
  </si>
  <si>
    <t>ملحظ اومشرف في افران تحضير الصلب</t>
  </si>
  <si>
    <t>ملحظ اومشرف في افران تحضير المعادن</t>
  </si>
  <si>
    <t>ملحظ اومشرف في درفله المعادن</t>
  </si>
  <si>
    <t>ملحظ اومشرف في افران صهر المعادن</t>
  </si>
  <si>
    <t>ملحظ اومشرف في سباكه المعادن</t>
  </si>
  <si>
    <t>ملحظ اومشرف في المعالجه الحراريه</t>
  </si>
  <si>
    <t>ملحظ او مشرف حراريات</t>
  </si>
  <si>
    <t>ملحظ اومشرف في سحب المعادن</t>
  </si>
  <si>
    <t>ملحظ اومشرف في طلء المعادن</t>
  </si>
  <si>
    <t>فنى صناعه منظفات كيماوية</t>
  </si>
  <si>
    <t>ملحظ اومشرف في الصناعات الكيماويه</t>
  </si>
  <si>
    <t>ملحظ اومشرف في صناعه السمنت</t>
  </si>
  <si>
    <t>ملحظ اومشرف في تكرير البترول</t>
  </si>
  <si>
    <t>مصمم خطوط انابيب بترول</t>
  </si>
  <si>
    <t>ملحظ تشغيل</t>
  </si>
  <si>
    <t>ملحظ اومشرف في تشغيل واصلح المنتجات المعدنيه</t>
  </si>
  <si>
    <t>ملحظ اومشرف في اعمال البراده</t>
  </si>
  <si>
    <t>ملحظ اومشرف في تشغيل ماكينات</t>
  </si>
  <si>
    <t>ملحظ اومشرف في الحداده</t>
  </si>
  <si>
    <t>ملحظ اومشرف في اللحام</t>
  </si>
  <si>
    <t>مساعد لحام</t>
  </si>
  <si>
    <t>ملحظ اومشرف في اشغال الصاج</t>
  </si>
  <si>
    <t>ملحظ اومشرف في صناعه السيارات</t>
  </si>
  <si>
    <t>مشرف سمكرة</t>
  </si>
  <si>
    <t>ملحظ اومشرف في صناعه الموتسيكلت</t>
  </si>
  <si>
    <t>ملحظ اومشرف في صناعه الطائرات</t>
  </si>
  <si>
    <t>ملحظ اومشرف في صناعه النقل</t>
  </si>
  <si>
    <t>ملحظ اومشرف في صناعه واصلح السفن</t>
  </si>
  <si>
    <t>ملحظ اومشرف في صناعه الماكينات عدا الكهربائيه</t>
  </si>
  <si>
    <t>ملحظ اومشرف في صناعه الجهزه</t>
  </si>
  <si>
    <t>ملحظ اومشرف في التصوير والبصريات</t>
  </si>
  <si>
    <t>ملحظ اومشرف في صناعه الماكينات الكهربائيه</t>
  </si>
  <si>
    <t>ملحظ اومشرف في صناعه المعدات الكهربائيه</t>
  </si>
  <si>
    <t>ملحظ اومشرف عام ميكانيكا تبريد وتكييف</t>
  </si>
  <si>
    <t>ملحظ اومشرف في منتجات المطاط</t>
  </si>
  <si>
    <t>ملحظ اومشرف في منتجات البلستيك</t>
  </si>
  <si>
    <t>ملحظ اومشرف في منتجات الورق</t>
  </si>
  <si>
    <t>ملحظ اومشرف في المواد التركيبيه</t>
  </si>
  <si>
    <t>ملحظ اومشرف في ذبح وحفظ اللحوم</t>
  </si>
  <si>
    <t>ملحظ اومشرف في صناعه اللبان</t>
  </si>
  <si>
    <t>ملحظ اومشرف في تعليب الخضروات والفاكهه</t>
  </si>
  <si>
    <t>ملحظ اومشرف في تعليب السماك</t>
  </si>
  <si>
    <t>ملحظ اومشرف في طحن الغلل</t>
  </si>
  <si>
    <t>ملحظ اومشرف في صناعه الخبز</t>
  </si>
  <si>
    <t>ملحظ اومشرف في صناعه السكر</t>
  </si>
  <si>
    <t>ملحظ اومشرف في صناعه الشيكولته والحلوي</t>
  </si>
  <si>
    <t>ملحظ اومشرف في المنتجات الغذائيه</t>
  </si>
  <si>
    <t>ملحظ او مشرف في تقطير المشروبات</t>
  </si>
  <si>
    <t>ملحظ او مشرف في صناعه المشروبات</t>
  </si>
  <si>
    <t>ملحظ او مشرف في صناعه الزيتون</t>
  </si>
  <si>
    <t>ملحظ او مشرف في صناعه غزل ونسيج</t>
  </si>
  <si>
    <t>ملحظ او مشرف في صناعه غزل الحرير</t>
  </si>
  <si>
    <t>ملحظ او مشرف في صناعه التريكو</t>
  </si>
  <si>
    <t>ملحظ او مشرف في صباغه وتجهيز المنسوجات</t>
  </si>
  <si>
    <t>ملحظ او مشرف في صناعه الحبال</t>
  </si>
  <si>
    <t xml:space="preserve">ملحظ او مشرف في صناعه الملبس </t>
  </si>
  <si>
    <t>ملحظ او مشرف في عمليات المبانى</t>
  </si>
  <si>
    <t>ملحظ او مشرف في عمليات النشاء</t>
  </si>
  <si>
    <t>ملحظ او مشرف في عمليات التركيبات الصحيه</t>
  </si>
  <si>
    <t>ملحظ او مشرف في عمليات توليدكهرباء</t>
  </si>
  <si>
    <t>ملحظ او مشرف في عمليات انتاح الغاز</t>
  </si>
  <si>
    <t>ملحظ او مشرف في عمليات تنقيه المياه</t>
  </si>
  <si>
    <t>ملحظ او مشرف في عمليات انتاج البخار</t>
  </si>
  <si>
    <t>مشرف محطات تحلية مياه</t>
  </si>
  <si>
    <t>ملحظ او مشرف عمليات المصنوعات الخشبيه</t>
  </si>
  <si>
    <t>ملحظ او مشرف في عجينه الورق</t>
  </si>
  <si>
    <t>ملحظ او مشرف دباغه وتجهيز الجلود</t>
  </si>
  <si>
    <t>ملحظ او مشرف في صناعه منتجات الدخان</t>
  </si>
  <si>
    <t>ملحظ او مشرف في صناعه الحذيه</t>
  </si>
  <si>
    <t>ملحظ او مشرف في صناعه منتجات الجلود</t>
  </si>
  <si>
    <t>ملحظ او مشرف في عمليات قطع وتشكيل الحجار</t>
  </si>
  <si>
    <t>ملحظ او مشرف في صناعه المنتجات الزجاجيه</t>
  </si>
  <si>
    <t>ملحظ او مشرف في صناعه الخزف والصيني</t>
  </si>
  <si>
    <t>ملحظ او مشرف في الطباعه</t>
  </si>
  <si>
    <t>ملحظ او مشرف في صناعه مواد البناء</t>
  </si>
  <si>
    <t>ملحظ او مشرف في عمليات التخزين</t>
  </si>
  <si>
    <t>ملحظ او مشرف في عمليات المجاري</t>
  </si>
  <si>
    <t>مشرف بقسم الكاميرات والمراقبة الداخلية</t>
  </si>
  <si>
    <t>ملحظ مناولة خامات</t>
  </si>
  <si>
    <t>الملحظون والمشرفون علي النتاج - الخرون</t>
  </si>
  <si>
    <t>فنى تبريد وتكييف</t>
  </si>
  <si>
    <t>فنـى دهانات</t>
  </si>
  <si>
    <t>فنى دوكو اول</t>
  </si>
  <si>
    <t>فنى خراط معادن</t>
  </si>
  <si>
    <t xml:space="preserve">فنى مكابس </t>
  </si>
  <si>
    <t>حفــار</t>
  </si>
  <si>
    <t>حفار آبار مياه</t>
  </si>
  <si>
    <t>عامل مناجم - عام</t>
  </si>
  <si>
    <t>عامل محاجر - عام</t>
  </si>
  <si>
    <t>عامل تشغيل الت القطع بالمناجم</t>
  </si>
  <si>
    <t>عامل تشغيل ماكينه الثقب بالمحجر</t>
  </si>
  <si>
    <t>عامل تفجير</t>
  </si>
  <si>
    <t xml:space="preserve">عامل صلب المغارات تحت سطح الرض </t>
  </si>
  <si>
    <t>عامل جمع العينات في المناجم</t>
  </si>
  <si>
    <t>عمال المناجم والمحاجر - الخرون</t>
  </si>
  <si>
    <t>حجار يعمل بالة كهربائية</t>
  </si>
  <si>
    <t>عامل تقطيع الحجار</t>
  </si>
  <si>
    <t>عامل تشغيل كسارات مستخرجات التعدين</t>
  </si>
  <si>
    <t>عامل تشغيل ماكينه فصل الركاز</t>
  </si>
  <si>
    <t>عامل تشغيل ماكينه التنقيه بطريقه التعويم</t>
  </si>
  <si>
    <t>عامل ترسيب</t>
  </si>
  <si>
    <t>عامل معالجه الذهب والفضه بطريقه السينده</t>
  </si>
  <si>
    <t>جيار - عامل صنع الجير</t>
  </si>
  <si>
    <t>عمال معمـل معالجه مستخرجات المناجم</t>
  </si>
  <si>
    <t>عامل تشغيل البرج - عامل البرج</t>
  </si>
  <si>
    <t>عامل تشغيل بريمه ابار البترول</t>
  </si>
  <si>
    <t>عامل تشغيل ماكينه الثقب بالحبل</t>
  </si>
  <si>
    <t>عامل تغليف ابار البترول والغاز</t>
  </si>
  <si>
    <t xml:space="preserve">عامل معالجه ابار البترول بالحامض </t>
  </si>
  <si>
    <t>عمال حفر البار ومن اليهم - الخرون</t>
  </si>
  <si>
    <t>عامل الفرن العالي</t>
  </si>
  <si>
    <t>عامل فرن الختزال الكهربائي</t>
  </si>
  <si>
    <t>عامل فرن مارتن للصلب</t>
  </si>
  <si>
    <t>عامل محولت بسمر او توماس  للصلب</t>
  </si>
  <si>
    <t>عامل الفرن الكهربائي للصلب</t>
  </si>
  <si>
    <t>عامل فرن لتحويل وتنقيه المعادن</t>
  </si>
  <si>
    <t>عامل غليات</t>
  </si>
  <si>
    <t>عمال افران تحويل وتنقيه المعادن</t>
  </si>
  <si>
    <t>عامل تشغيل ماكينه درفله معادن حديد صلب</t>
  </si>
  <si>
    <t>- عامل تشغيل ماكينه درفله معادن - غير حديد</t>
  </si>
  <si>
    <t>عامل تشغيل ماكينه مستمره لدرفله المعادن</t>
  </si>
  <si>
    <t>عامل تشغيل ماكينه درفله المعادن علي البارد</t>
  </si>
  <si>
    <t>عامل تشغيل ماكينه سحب مواسير وانابيب</t>
  </si>
  <si>
    <t>عامل تشغيل اجهزه الضبط في ماكينات الدرفله</t>
  </si>
  <si>
    <t>عمال تشغيل ماكينات درفله المعادن</t>
  </si>
  <si>
    <t>عامل فرن الدست لصهر المعادن</t>
  </si>
  <si>
    <t>عامل فرن ذي الشاروقه لصهر المعادن</t>
  </si>
  <si>
    <t xml:space="preserve">عامل فرن صهر المعادن بالقوس </t>
  </si>
  <si>
    <t>عامل فرن بوتقه لصهر المعادن</t>
  </si>
  <si>
    <t>عامل فرن عاكس  - ريفيراتوري</t>
  </si>
  <si>
    <t>عامل فرن تسخين المعادن</t>
  </si>
  <si>
    <t>عمال صهر المعادن واعاده تسخينها</t>
  </si>
  <si>
    <t>عامل صب معادن</t>
  </si>
  <si>
    <t>عامل ماكينه صب المعادن بطريقه الطرد المركزي</t>
  </si>
  <si>
    <t>عامل ماكينه صب المعادن في قوالب</t>
  </si>
  <si>
    <t>عامل ماكينه صب المعادن غير الحديد</t>
  </si>
  <si>
    <t>عمال صب المعادن - الخرون</t>
  </si>
  <si>
    <t>سباك صحى</t>
  </si>
  <si>
    <t>سباك معادن - عام</t>
  </si>
  <si>
    <t>سباك معادن باليد</t>
  </si>
  <si>
    <t>سباك معادن بالماكينه</t>
  </si>
  <si>
    <t>صانع دليك للسباكه باليد</t>
  </si>
  <si>
    <t>صانع دليك للسباكه بالماكينه</t>
  </si>
  <si>
    <t>سباكو المعادن وصانعو الدلليك</t>
  </si>
  <si>
    <t>عامل تخمير</t>
  </si>
  <si>
    <t>عامل تقسيه المعادن</t>
  </si>
  <si>
    <t>عامل تقسيه المعادن بالتغليف</t>
  </si>
  <si>
    <t>عامل مراجعه حراريه للمعادن</t>
  </si>
  <si>
    <t>عامل براد عده وضبعه عام</t>
  </si>
  <si>
    <t>عمال المعامله الحراريه - الخرون</t>
  </si>
  <si>
    <t>عامل سحب المعادن - عام</t>
  </si>
  <si>
    <t>عامل ماكينه سحب سلك بدار باليد</t>
  </si>
  <si>
    <t>عامل ماكينه سحب بالقوي الكهربائيه</t>
  </si>
  <si>
    <t>عامل ماكينه سحب مواسير بدون لحام</t>
  </si>
  <si>
    <t>عمال سحب المعادن - الخرون</t>
  </si>
  <si>
    <t>عامل طلء معادن بالكهرباء - عام</t>
  </si>
  <si>
    <t xml:space="preserve">عامل طلء معادن بالغمس </t>
  </si>
  <si>
    <t>عامل تشغيل ماكينه طلء السلك</t>
  </si>
  <si>
    <t>عامل رش  معادن منصهره</t>
  </si>
  <si>
    <t>عامل طلء الواني النحاسيه بالقصدير</t>
  </si>
  <si>
    <t>عمال طلء المعادن - الخرون</t>
  </si>
  <si>
    <t>عامل تنظيف المعادن بالرش  بالرمل</t>
  </si>
  <si>
    <t>عامل تلميع معادن بالفرشه</t>
  </si>
  <si>
    <t>عمال تجهيز المعادن - تشغيل وتهيئه</t>
  </si>
  <si>
    <t>عامل تجفيف الخشب</t>
  </si>
  <si>
    <t>عامل معالجه الخشب بالقطران او غيره</t>
  </si>
  <si>
    <t>عمال معالجه الخشاب - الخام - الخرون</t>
  </si>
  <si>
    <t>عامل منشار ميكانيكي لقطع الشجار</t>
  </si>
  <si>
    <t>عامل منشار يدوي لقطع الشجار</t>
  </si>
  <si>
    <t>عامل تشغيل ماكينه قطع القشره</t>
  </si>
  <si>
    <t xml:space="preserve">عامل تشغيل ماكينه كبس  البلكاش </t>
  </si>
  <si>
    <t>عامل تشغيل ماكينه صنع الخشبالحبيبي</t>
  </si>
  <si>
    <t>فراز خشب</t>
  </si>
  <si>
    <t>عمال نشر الخشاب وصنع البلكاشي</t>
  </si>
  <si>
    <t>عامل تشغيل ماكينه لب الخشب</t>
  </si>
  <si>
    <t>عامل ماكينه هضم عجينه الورق</t>
  </si>
  <si>
    <t>عامل ماكينه تبيضي عجينه الورق</t>
  </si>
  <si>
    <t>عامل ماكينه ضرب عجينه الورق</t>
  </si>
  <si>
    <t>عمال تحضير عجينه الورق - الخرون</t>
  </si>
  <si>
    <t>عامل ماكينه صنع الورق - عدد المدخل</t>
  </si>
  <si>
    <t>عامل ماكينه صنع الورق - عدد المخرج</t>
  </si>
  <si>
    <t>عامل ماكينه في صناعه الورق</t>
  </si>
  <si>
    <t>عامل ماكينه صقل الورق وتلميعه</t>
  </si>
  <si>
    <t>صانع الورق باليد</t>
  </si>
  <si>
    <t>عمال صنع الورق - الخرون</t>
  </si>
  <si>
    <t>عامل ماكينه حرشي للعملياتالكيماويه</t>
  </si>
  <si>
    <t>عامل ماكينه طبخ العمليات الكيماويه</t>
  </si>
  <si>
    <t>عامل ماكينه الخلط في العمليات الكيماويه</t>
  </si>
  <si>
    <t>عمال الحرشي - التكسير - الخرون</t>
  </si>
  <si>
    <t>عامل الطبخ في العمليات الكيماويه</t>
  </si>
  <si>
    <t>عامل التحميص  في العمليات الكيماويه</t>
  </si>
  <si>
    <t>عامل الفران في العمليات الكيماويه</t>
  </si>
  <si>
    <t>عامل تشغيل فرن صناعه الجرافيت</t>
  </si>
  <si>
    <t>عامل تشغيل فرن صناعه السمنت</t>
  </si>
  <si>
    <t>عمال الطبخ والتحميص  - الخرون</t>
  </si>
  <si>
    <t>عامل تشغيل جهاز ترشيح بالضغط</t>
  </si>
  <si>
    <t>عامل جهاز ترشيح بالطنبور الدائري</t>
  </si>
  <si>
    <t>عامل جهاز فصل القوه الطارده</t>
  </si>
  <si>
    <t>عامل تنقيه الزيت الخام من الرمل والماء</t>
  </si>
  <si>
    <t>عمال الترشيح والفصل - الخرون</t>
  </si>
  <si>
    <t>عامل جهاز تقطير متقطع للمواد</t>
  </si>
  <si>
    <t>عامل جهاز تقطير مستمر للمواد</t>
  </si>
  <si>
    <t>عامل تفاعل للمواد الكيماويه</t>
  </si>
  <si>
    <t>عامل تشغيل جهاز تبخير</t>
  </si>
  <si>
    <t>عامل تشغيل جهاز تقطير الخشب</t>
  </si>
  <si>
    <t>عمال اجهزه التقطير والتفاعلت</t>
  </si>
  <si>
    <t>عامل جهاز الخام لتخليصه من الكبريت</t>
  </si>
  <si>
    <t>عامل طلمبات في صناعه تكريرالبترول</t>
  </si>
  <si>
    <t>عامل تقطير في صناعه تكرير البترول</t>
  </si>
  <si>
    <t>عامل التحكيم في صناعه تكرير البترول</t>
  </si>
  <si>
    <t>عامل خلط في صناعه تكرير البترول</t>
  </si>
  <si>
    <t>عامل خلط السفلت في صناعه تكرير البترول</t>
  </si>
  <si>
    <t>عامل برج برافينات في صناعه البترول</t>
  </si>
  <si>
    <t>عمال تكرير البترول - الخرون</t>
  </si>
  <si>
    <t>عامل توزيع وتركيب اسطوانة غاز</t>
  </si>
  <si>
    <t>عامل مامينه خلط وتسخين المطاط</t>
  </si>
  <si>
    <t>عامل تحضير فحم الكوك</t>
  </si>
  <si>
    <t>عامل صناعه غاز الفحم</t>
  </si>
  <si>
    <t>عامل تقطير الفحم النباتي والبلدي</t>
  </si>
  <si>
    <t>عامل صنع اللفاف الصناعيه</t>
  </si>
  <si>
    <t>عامل في العمليات الكيماويه للمواد</t>
  </si>
  <si>
    <t>عامل استخلص  الروائح العطريه</t>
  </si>
  <si>
    <t>عامل قمينه لنتاج الفحم النباتي</t>
  </si>
  <si>
    <t>محضر معمل في العمليات الكيماويه</t>
  </si>
  <si>
    <t>عمال العمليات الكيماويه - الخرون</t>
  </si>
  <si>
    <t>عامل فرز قطن</t>
  </si>
  <si>
    <t>عامل فرز كتان</t>
  </si>
  <si>
    <t>عامل فرز صوف</t>
  </si>
  <si>
    <t>عامل غسيل الصوف</t>
  </si>
  <si>
    <t>عامل خلط وتوليف اللياف</t>
  </si>
  <si>
    <t>عامل ماكينه تنظيف القطن  عامل فرفره</t>
  </si>
  <si>
    <t>عامل ماكينه تسريح - عامل كرد</t>
  </si>
  <si>
    <t>عامل ماكينه تمشيط</t>
  </si>
  <si>
    <t>عامل لف</t>
  </si>
  <si>
    <t>عامل سحب</t>
  </si>
  <si>
    <t>عامل برم</t>
  </si>
  <si>
    <t>عمال تجهيز اللياف - الخرون</t>
  </si>
  <si>
    <t>عامل غزل</t>
  </si>
  <si>
    <t>عامل تطبيق</t>
  </si>
  <si>
    <t>عامل زوي</t>
  </si>
  <si>
    <t>عامل تدوير - خيوط غزل</t>
  </si>
  <si>
    <t>عامل شلل - عامل لوزنه - عامل كون</t>
  </si>
  <si>
    <t>عمال الغزل والتدوير - الخرون</t>
  </si>
  <si>
    <t>ميكانيكي توضيب النوال</t>
  </si>
  <si>
    <t>ميكانيكي توضيب نول الجكارد</t>
  </si>
  <si>
    <t>ميكانيكي توضيب ماكينات التريكو</t>
  </si>
  <si>
    <t>عامل نقل رسومات الجكارد علي الورق</t>
  </si>
  <si>
    <t>عامل تقطيع كرتون الجكارد</t>
  </si>
  <si>
    <t>عمال ضبط واعداد ماكينات النسيج</t>
  </si>
  <si>
    <t xml:space="preserve">عامل بوش </t>
  </si>
  <si>
    <t>عامل مطواه السداه</t>
  </si>
  <si>
    <t>عامل تبريز المطواه باليد</t>
  </si>
  <si>
    <t>عامل تبريز المطواه بالماكينه</t>
  </si>
  <si>
    <t>طباع منسوجات</t>
  </si>
  <si>
    <t>نساج</t>
  </si>
  <si>
    <t>عامل نسيج قماش  علي نول يدوي</t>
  </si>
  <si>
    <t>عامل نسيج قماش  علي نول ميكانيكي</t>
  </si>
  <si>
    <t>عامل نسيج نول جكارد</t>
  </si>
  <si>
    <t>عامل نسيج اشرطه</t>
  </si>
  <si>
    <t>عامل نسيج سجاد علي نول يدوي</t>
  </si>
  <si>
    <t>عامل نسيج سجاد علي نول ميكانيكي</t>
  </si>
  <si>
    <t>عامل نسيج كليم</t>
  </si>
  <si>
    <t>عامل نسيج - صنع - بطاطين</t>
  </si>
  <si>
    <t>عامل فحص  منسوجات - عامل فرز</t>
  </si>
  <si>
    <t>عامل اصلح عيوب المنسوجات</t>
  </si>
  <si>
    <t>عمال النسيج ومن اليهم - الخرون</t>
  </si>
  <si>
    <t>عامل تشغيل ماكينه تريكو سطح</t>
  </si>
  <si>
    <t>عامل تشغيل ماكينه تريكو دائري</t>
  </si>
  <si>
    <t>عامل تشغيل ماكينه تريكو يدوي</t>
  </si>
  <si>
    <t>عامل تريكو باليد</t>
  </si>
  <si>
    <t>عمال التريكو - الخرون</t>
  </si>
  <si>
    <t>عامل تبيض  منسوجات</t>
  </si>
  <si>
    <t>عامل صباغه خيوط</t>
  </si>
  <si>
    <t>عامل صباغه اقمشه</t>
  </si>
  <si>
    <t>عامل ازاله صمغ الحرير الطبيعي</t>
  </si>
  <si>
    <t>عامل تشغيل ماكينه ترطيب</t>
  </si>
  <si>
    <t>عامل كرينه المنسوجات الصوفيه</t>
  </si>
  <si>
    <t>عامل تشغيل ماكينه تلبيد الصوف</t>
  </si>
  <si>
    <t>عامل تنشيه المنسوجات</t>
  </si>
  <si>
    <t>عامل كستره - عامل وبره الكستور</t>
  </si>
  <si>
    <t>عامل حرق الوبره</t>
  </si>
  <si>
    <t>عامل معالجه المنسوجات ضد المياه</t>
  </si>
  <si>
    <t xml:space="preserve">عامل معالجه المنسوجات لمنع النكماش </t>
  </si>
  <si>
    <t>عامل تشغيل ماكينه تشطيب المنسوجات</t>
  </si>
  <si>
    <t>عمال التبييض  والصباغه - الخرون</t>
  </si>
  <si>
    <t>عامل جدل باليد</t>
  </si>
  <si>
    <t>عامل جدل بالماكينه</t>
  </si>
  <si>
    <t>عامل كروشيه باليد</t>
  </si>
  <si>
    <t>عامل كروشيه بالماكينه</t>
  </si>
  <si>
    <t>عامل تشغيل ماكينه تنظيف شعر الفراء</t>
  </si>
  <si>
    <t>عامل صنع اللباد من الفراء</t>
  </si>
  <si>
    <t>عامل صنع اللباد من الصوف</t>
  </si>
  <si>
    <t>عامل صنع القطن الطبي</t>
  </si>
  <si>
    <t>عامل فحص  خيوط بالعمل - تحليل</t>
  </si>
  <si>
    <t>عامل فحص  اقمشه بالعمل تحليل مواصفات</t>
  </si>
  <si>
    <t>فاحص اقمشه</t>
  </si>
  <si>
    <t>عمال صناعه الغزل والنسيج - اخرون</t>
  </si>
  <si>
    <t>عامل فرز الجلود</t>
  </si>
  <si>
    <t>عامل تلحيم وازاله الشعر باليد</t>
  </si>
  <si>
    <t>عامل تلحيم وازاله الشعر بالماكينه</t>
  </si>
  <si>
    <t>عامل شق الجلود</t>
  </si>
  <si>
    <t>- عامل الدباغه - مدابغي</t>
  </si>
  <si>
    <t>عامل اعداد حمام الدباغه</t>
  </si>
  <si>
    <t>عامل تشطيب الجلود</t>
  </si>
  <si>
    <t>عامل صباغه الجلود</t>
  </si>
  <si>
    <t>عمال الدباغه وعمال شلح الصوف الخرون</t>
  </si>
  <si>
    <t>عمال تجهيز وتشطيب الفراء الخام</t>
  </si>
  <si>
    <t>طحان الحبوب</t>
  </si>
  <si>
    <t>عامل ضرب وتبييض  الرز</t>
  </si>
  <si>
    <t>طحان ارز</t>
  </si>
  <si>
    <t>عامل تحميص  وطحن البن</t>
  </si>
  <si>
    <t>طحان توابل - بهارات</t>
  </si>
  <si>
    <t>عطــار</t>
  </si>
  <si>
    <t>عمال طحن الحبوب ومن اليهم - الخرون</t>
  </si>
  <si>
    <t>عامل عصر القصب</t>
  </si>
  <si>
    <t>عامل معالجه وترويق العصير</t>
  </si>
  <si>
    <t>عامل بلوره لصناعه وتكرير السكر</t>
  </si>
  <si>
    <t>عامل فصل السكر بالطرد المركزي</t>
  </si>
  <si>
    <t>عمال صناعه وتكرير السكر - الخرون</t>
  </si>
  <si>
    <t>جزار - عام</t>
  </si>
  <si>
    <t>عامل الذبح - سلخ - بشكار</t>
  </si>
  <si>
    <t>عامل تنظيف الطراف والحشاء - كرشاتي</t>
  </si>
  <si>
    <t>الجزارون وعمال تجهيز اللحوم - الخرون</t>
  </si>
  <si>
    <t>عامل طبخ اللحوم لحفظها - عام</t>
  </si>
  <si>
    <t>عامل طبخ السمك لحفظه</t>
  </si>
  <si>
    <t>عامل طبخ الفاكهه والخضروات لحفظها</t>
  </si>
  <si>
    <t>عامل صنع صلصه الطماطم</t>
  </si>
  <si>
    <t>عامل تجميد المواد الغذائيه</t>
  </si>
  <si>
    <t>عامل تجفيف المواد الغذائيه</t>
  </si>
  <si>
    <t>عامل معالجه اللحوم</t>
  </si>
  <si>
    <t>عامل تمليح السمك</t>
  </si>
  <si>
    <t>عامل عصر الفاكهه لحفظها</t>
  </si>
  <si>
    <t>عامل صنع المخللت</t>
  </si>
  <si>
    <t>صانع عصير فواكه</t>
  </si>
  <si>
    <t>عمال حفظ الغذيه - الخرون</t>
  </si>
  <si>
    <t>عامل صنع منتجات البان - عام</t>
  </si>
  <si>
    <t>عامل بستره اللبان</t>
  </si>
  <si>
    <t>عامل صنع الزبده</t>
  </si>
  <si>
    <t>عامل صنع الجبنه</t>
  </si>
  <si>
    <t>- عامل صنع المثلجات - الجيلتي</t>
  </si>
  <si>
    <t>عمال صناعه منتجات اللبان - الخرون</t>
  </si>
  <si>
    <t>خباز - عام</t>
  </si>
  <si>
    <t>مساعد فران</t>
  </si>
  <si>
    <t>طولجي</t>
  </si>
  <si>
    <t>سحلجي</t>
  </si>
  <si>
    <t>رئيس  عجان</t>
  </si>
  <si>
    <t>عجان خبز</t>
  </si>
  <si>
    <t>مساعد عجان خبز</t>
  </si>
  <si>
    <t>خراط خبز</t>
  </si>
  <si>
    <t>صانع فطائر - فطاطري - كنفاني</t>
  </si>
  <si>
    <t>صانع جاتوه</t>
  </si>
  <si>
    <t>صانع حلوي</t>
  </si>
  <si>
    <t>عامل صنع مكرونه</t>
  </si>
  <si>
    <t>صانع الشيكولته</t>
  </si>
  <si>
    <t>صانع اللبان</t>
  </si>
  <si>
    <t>صانع الحلوه الطحينيه</t>
  </si>
  <si>
    <t>عامل صناعه البسكويت</t>
  </si>
  <si>
    <t>عمال صناعه الخبز والفطائر والحلوي</t>
  </si>
  <si>
    <t>عامل توليف الشاي</t>
  </si>
  <si>
    <t>صانع مشروبات روحيه - عام</t>
  </si>
  <si>
    <t>عامل انبات</t>
  </si>
  <si>
    <t>عامل افران المولت</t>
  </si>
  <si>
    <t>عامل طبخ المولت</t>
  </si>
  <si>
    <t>عامل التخمير</t>
  </si>
  <si>
    <t>عامل صنع خميره البيره</t>
  </si>
  <si>
    <t>صانع الخل من المولت</t>
  </si>
  <si>
    <t>عامل تذوق النبيذ والمشروبات الكحول</t>
  </si>
  <si>
    <t>عمال صناعه المشروبات الكحوليه</t>
  </si>
  <si>
    <t>عامل ماكينه عصر البذور</t>
  </si>
  <si>
    <t>عامل ماكينه تنقيه الزيوت والدهون</t>
  </si>
  <si>
    <t>عامل هدرجه الزيوت</t>
  </si>
  <si>
    <t>عامل تشغيل ماكينه كبس  الواح الكسب</t>
  </si>
  <si>
    <t>عامل عصير الفاكهه</t>
  </si>
  <si>
    <t>عامل صنع النشا</t>
  </si>
  <si>
    <t>عمال تجهيز الغذيه والمشروبات</t>
  </si>
  <si>
    <t>عامل تقسيم الدخان الي درجات</t>
  </si>
  <si>
    <t>عامل توليفه الدخان - خرمنجي</t>
  </si>
  <si>
    <t>عامل ترطيب الدخان</t>
  </si>
  <si>
    <t>عامل سلخ سيقان الدخان باليد</t>
  </si>
  <si>
    <t>عامل تشغيل ماكينه سلخ سيقان الدخان</t>
  </si>
  <si>
    <t>عامل تشغيل ماكينه فرم الدخان</t>
  </si>
  <si>
    <t>عمال تجهيز الدخان - الخرون</t>
  </si>
  <si>
    <t>عامل صنع السيجار باليد</t>
  </si>
  <si>
    <t>عامل تشغيل ماكينه صنع السيجار</t>
  </si>
  <si>
    <t>عمال صنع السجاير - الخرون</t>
  </si>
  <si>
    <t>عامل صنع السجاير باليد</t>
  </si>
  <si>
    <t>عامل تشغيل ماكينه صنع السجاير</t>
  </si>
  <si>
    <t>عامل صنع نشوق</t>
  </si>
  <si>
    <t>عامل صنع دخان المعسل</t>
  </si>
  <si>
    <t>عمال تجهيز الدخان ومنتجاته - اخرون</t>
  </si>
  <si>
    <t>- ترزي بدل حسب المقاس  - ترزي افرنجي</t>
  </si>
  <si>
    <t>ترزي بدل جاهزه</t>
  </si>
  <si>
    <t>خياط بنطلون</t>
  </si>
  <si>
    <t xml:space="preserve">ترزي قمصان وبيجامات حسب المقاس </t>
  </si>
  <si>
    <t xml:space="preserve">ترزي ملبس  سيدات حسب المقاس </t>
  </si>
  <si>
    <t>ترزي ملبس  سيدات جاهزه</t>
  </si>
  <si>
    <t>- ترزي ملبس  بلديه - ترزي عربي</t>
  </si>
  <si>
    <t>الترزيه - الخرون</t>
  </si>
  <si>
    <t>ترزي فراء</t>
  </si>
  <si>
    <t>ترزيو الفراء - الخرون</t>
  </si>
  <si>
    <t>عامل صنع قبعات - عام</t>
  </si>
  <si>
    <t>عامل صنع قبعات سيدات</t>
  </si>
  <si>
    <t>عامل صنع اغطيه الراس  العسكريه</t>
  </si>
  <si>
    <t>- عامل صنع لبد - لبودي</t>
  </si>
  <si>
    <t>عمال صنع اغطيه الراس  - الخرون</t>
  </si>
  <si>
    <t>صانع نماذج ملبس  - باترون</t>
  </si>
  <si>
    <t>صانع نماذج قبعات وكاب - باترون</t>
  </si>
  <si>
    <t>عامل نقل النماذج علي القمشه</t>
  </si>
  <si>
    <t>- عامل قص  الملبس  الجاهزه</t>
  </si>
  <si>
    <t>عامل قص  الملبس  الجلديه</t>
  </si>
  <si>
    <t>عامل قص  القفازات - عدا الجلديه</t>
  </si>
  <si>
    <t>عامل قص  القفازات الجلديه</t>
  </si>
  <si>
    <t xml:space="preserve">عمال صنع نماذج الزياء وعمال القص </t>
  </si>
  <si>
    <t>مقصدار</t>
  </si>
  <si>
    <t>عامل خياطه باليد والماكينه - عام</t>
  </si>
  <si>
    <t>اصلح ماكينة خياطة</t>
  </si>
  <si>
    <t>عامل خياطه باليد عدا جلديه وفراء</t>
  </si>
  <si>
    <t>عامل خياطه الجلود باليد</t>
  </si>
  <si>
    <t>عامل خياطه الفراء باليد</t>
  </si>
  <si>
    <t>عامل تشغيل ماكينه خياطه الملبوسات</t>
  </si>
  <si>
    <t>عامل تطريز باليد</t>
  </si>
  <si>
    <t>عامل تطريز بالماكينه</t>
  </si>
  <si>
    <t>عامل عراوي</t>
  </si>
  <si>
    <t>عقاد - حرايري</t>
  </si>
  <si>
    <t>- عامل تطريز بالقصب - قصبجي</t>
  </si>
  <si>
    <t>عامل رفي الملبس  - رفا</t>
  </si>
  <si>
    <t>خياط / ترزي متجول</t>
  </si>
  <si>
    <t>خياطو الملبوسات والتطريز والبرودريه</t>
  </si>
  <si>
    <t>منجد افرنجي - منجد مفروشات</t>
  </si>
  <si>
    <t>منجد مركبات - سروجي سيارات</t>
  </si>
  <si>
    <t>منجد بلدي - منجد مراتب - مخدات</t>
  </si>
  <si>
    <t>برادعي</t>
  </si>
  <si>
    <t>المنجدون ومن اليهم - الخرون</t>
  </si>
  <si>
    <t>عامل صنع الشباك باليد</t>
  </si>
  <si>
    <t>عامل صنع الشباك بالماكينه</t>
  </si>
  <si>
    <t>- صانع قلوع وخيام وتند - خيمي</t>
  </si>
  <si>
    <t>صانع مظلت - شماسي</t>
  </si>
  <si>
    <t>- خياط خيش  - خياش  - خياط اكياس  زهر</t>
  </si>
  <si>
    <t>خياط خيش  بال</t>
  </si>
  <si>
    <t>خياط زكائب بذره</t>
  </si>
  <si>
    <t>خياط شحن بال</t>
  </si>
  <si>
    <t>الترزيه والخياطون والمنجدون - الخر</t>
  </si>
  <si>
    <t>مصمم احذية</t>
  </si>
  <si>
    <t>عامل صنع احذيه - جزمجي - عام</t>
  </si>
  <si>
    <t>عامل صنع صنادل وشباشب</t>
  </si>
  <si>
    <t>عامل صنع بلغ</t>
  </si>
  <si>
    <t>عامل اصلح احذيه</t>
  </si>
  <si>
    <t>عمال صنع واصلح الحذيه - الخرون</t>
  </si>
  <si>
    <t>عامل اعداد باترونات الحذيه</t>
  </si>
  <si>
    <t>عامل تفصيل جلد وجه الحذاء باليد</t>
  </si>
  <si>
    <t>عامل تفصيل جلد وجه الحذاء بالماكينه</t>
  </si>
  <si>
    <t>عامل تمكين جلد وجه الحذاء - مكنجي</t>
  </si>
  <si>
    <t>عامل تفصيل جلد النعل</t>
  </si>
  <si>
    <t>عامل تجهيز النعل الداخلي والخارجي</t>
  </si>
  <si>
    <t>عامل شد وجه الحذاء علي القالب</t>
  </si>
  <si>
    <t>عامل حياكه وجه الحذاء بالنعل باليد</t>
  </si>
  <si>
    <t>عامل حياكه وجه الحذاء بالنعل</t>
  </si>
  <si>
    <t>عامل تشطيب الحذاء بعد التشغيل</t>
  </si>
  <si>
    <t>عمال تفصيل وتجهيز وحياكه الحذيه</t>
  </si>
  <si>
    <t>عامل صنع منتجات الجلود وبدائله</t>
  </si>
  <si>
    <t>عامل صنع السروج والسراع - سروجي</t>
  </si>
  <si>
    <t>عامل صنع شنط اليد الحريمي</t>
  </si>
  <si>
    <t>عامل صنع شنط النفر وما شابهها</t>
  </si>
  <si>
    <t>عامل تفصيل مشفولت جلديه عداالحذيه</t>
  </si>
  <si>
    <t>عامل حياكه جلود يدوي - عدا الحذيه</t>
  </si>
  <si>
    <t>عامل حياكه جلود بالماكينه - مكنجي</t>
  </si>
  <si>
    <t>عامل صناعات زخرفيه من الجلد</t>
  </si>
  <si>
    <t>عمال صنع منتجات الجلود وبدائل</t>
  </si>
  <si>
    <t>نجار اثاث - عام</t>
  </si>
  <si>
    <t>نجار اثاث منازل</t>
  </si>
  <si>
    <t>نجار اثاث مكاتب</t>
  </si>
  <si>
    <t>نجار كراسي</t>
  </si>
  <si>
    <t>نجاري الثاث - الخرون</t>
  </si>
  <si>
    <t>عامل توضيب وتشغيل ماكينات النجاره</t>
  </si>
  <si>
    <t>عامل تشغيل ماكينه مسح - مكنجي</t>
  </si>
  <si>
    <t>عامل تشغيل ماكينه حليه - مكنجي حليه</t>
  </si>
  <si>
    <t>عامل تشغيل ماكينه حفر في الخشب</t>
  </si>
  <si>
    <t>عامل تشغيل منشار خشب ميكنجي</t>
  </si>
  <si>
    <t>- عامل تشغيل ماكينه مخرطه خشب - خراط خشب</t>
  </si>
  <si>
    <t>عمال تشغيل ماكينات النجاره - اخرون</t>
  </si>
  <si>
    <t>نجار عربات ركوب</t>
  </si>
  <si>
    <t>نجار عربات نقل</t>
  </si>
  <si>
    <t>نجار عجل</t>
  </si>
  <si>
    <t>نجار ارانيك - نجار نماذج سباكه</t>
  </si>
  <si>
    <t>نجار نماذج خشبيه - ماكيت</t>
  </si>
  <si>
    <t>نجار ادوات رياضيه</t>
  </si>
  <si>
    <t>نجار تطعيم - ماركتري اوصدفجي</t>
  </si>
  <si>
    <t>نجار ايمه - ايمجي</t>
  </si>
  <si>
    <t>نجار صنع مكاييل واقداح</t>
  </si>
  <si>
    <t>نجار براميل</t>
  </si>
  <si>
    <t>نجار بلدي - قبقاب - طبليه - مطرحه</t>
  </si>
  <si>
    <t>نجار الت زراعيه خشبيه - جيفاوي</t>
  </si>
  <si>
    <t>نجار غرابيل اتوماتيكيه</t>
  </si>
  <si>
    <t>نشار خشب بلدي</t>
  </si>
  <si>
    <t>خراط خشب بلدي</t>
  </si>
  <si>
    <t>( عامل لصق القشره ( قشرجي</t>
  </si>
  <si>
    <t>استرجي</t>
  </si>
  <si>
    <t>مذهباتي</t>
  </si>
  <si>
    <t>نقاش  اثاث لكيه</t>
  </si>
  <si>
    <t>نجارو الثاث والمصنوعات الخشبيه - الخرون</t>
  </si>
  <si>
    <t>عامل فرز الحجار</t>
  </si>
  <si>
    <t>عامل قطع الحجار</t>
  </si>
  <si>
    <t>عامل تشغيل ماكينه نشر الحجار</t>
  </si>
  <si>
    <t>عامل تشغيل ماكينه تسويه الحجار</t>
  </si>
  <si>
    <t>عامل صقل الحجار بالماكينه</t>
  </si>
  <si>
    <t>عامل صقل الحجار باليد - جلء</t>
  </si>
  <si>
    <t>عامل تشغيل مخرطه تشكيل وصقل الحجار</t>
  </si>
  <si>
    <t>عامل نحت ونقش  الحجار والكتابه عليها</t>
  </si>
  <si>
    <t>عامل حفر الحروف ونقشها علي الحجار باليد</t>
  </si>
  <si>
    <t>عامل تخشين حجر الطاحونه - نقاش  حجر الطاحونه</t>
  </si>
  <si>
    <t>عمال قطع ونحت الحجار - الخرون</t>
  </si>
  <si>
    <t>حرفــى</t>
  </si>
  <si>
    <t>كبير حرفيين</t>
  </si>
  <si>
    <t>حداد - حداد سندان - عام</t>
  </si>
  <si>
    <t>حداد مطرقه ميكانيكيه ذات اسطمبات</t>
  </si>
  <si>
    <t>عامل تشغيل مكبس  حداده</t>
  </si>
  <si>
    <t>حداد زخرفي - ابواب - شبابيك - اثاث</t>
  </si>
  <si>
    <t>حداد سيارات</t>
  </si>
  <si>
    <t>حداد سواقي</t>
  </si>
  <si>
    <t>الحدادون وعمال تشغيل المطارق الميكانيكيه - الخرون</t>
  </si>
  <si>
    <t>براد اسطمبات</t>
  </si>
  <si>
    <t>براد عده وضبعه - عام</t>
  </si>
  <si>
    <t>براد عده</t>
  </si>
  <si>
    <t>براد ضبعه</t>
  </si>
  <si>
    <t>صانع ارانيك معدنيه للسبك</t>
  </si>
  <si>
    <t>عامل شنكار - بورش  المعادن</t>
  </si>
  <si>
    <t>براد حجـر</t>
  </si>
  <si>
    <t>براد تركيبات</t>
  </si>
  <si>
    <t>برادو العدد - صانعو العدد الخرون</t>
  </si>
  <si>
    <t>عامل توضيب ماكينات التشغيل ورش  المعادن - عام</t>
  </si>
  <si>
    <t>عامل مخرطه المعادن - خراط معادن</t>
  </si>
  <si>
    <t>عامل مخرطه ذات برج - خراط مخرطه</t>
  </si>
  <si>
    <t>عامل مخرطه - مخرطه سلندرات</t>
  </si>
  <si>
    <t>عامل فريزه - ماكينات فريزه</t>
  </si>
  <si>
    <t>عامل مقشطه - براد ماكينات - مقشطه</t>
  </si>
  <si>
    <t>عامل ماكينات مثقاب - براد ماكينات</t>
  </si>
  <si>
    <t>عامل ماكينه تجليخ - براد ماكينات</t>
  </si>
  <si>
    <t>عامل ماكينات سحق - براد ماكينات</t>
  </si>
  <si>
    <t>عامل ماكينات نشر المعادن</t>
  </si>
  <si>
    <t>عامل تشقيب بطاقات برامج ماكينات</t>
  </si>
  <si>
    <t>عمال ماكينات تشغيل المعادن</t>
  </si>
  <si>
    <t>مشغل ماكينة</t>
  </si>
  <si>
    <t>عامل تشغيل المعادن - عام</t>
  </si>
  <si>
    <t>عامل تشغيل مخرطه معادن</t>
  </si>
  <si>
    <t>عامل تشغيل مخرطه ذات برج</t>
  </si>
  <si>
    <t>عامل تشغيل مخرطه اوتوماتيكيه</t>
  </si>
  <si>
    <t>عامل مخرطه داخليه - مخرطه سلندرات</t>
  </si>
  <si>
    <t>عامل تشغيل فريزه</t>
  </si>
  <si>
    <t>عامل تشغيل ماكينه مثقاب</t>
  </si>
  <si>
    <t>عامل تشغيل مقشطه</t>
  </si>
  <si>
    <t>عامل تشغيل ماكينه منشار معادن</t>
  </si>
  <si>
    <t>عمال تشغيل ماكينات تشغيل المعادن - الخرون</t>
  </si>
  <si>
    <t>عامل ماكينه تلميع - عامل فرشه</t>
  </si>
  <si>
    <t>عامل ماكينه سن العدد للماكينات</t>
  </si>
  <si>
    <t>- عامل سن عدد القطع - السكاكين والمقصات</t>
  </si>
  <si>
    <t>عامل تصليح وسن المناشير</t>
  </si>
  <si>
    <t>عامل سن ماكينات تسريح النسيج</t>
  </si>
  <si>
    <t>عمال تجليخ وصقل المعادن وسن العدد - اخرون</t>
  </si>
  <si>
    <t>عامل تشغيل مكبس  معادن</t>
  </si>
  <si>
    <t>عامل تشغيل ماكينه ثني المعادن</t>
  </si>
  <si>
    <t>عامل تشغيل ماكينه قص  المعادن</t>
  </si>
  <si>
    <t>عامل تجميع واصلح القفال والمفاتيح</t>
  </si>
  <si>
    <t>عامل تجميع واصلح السلحه الناريه</t>
  </si>
  <si>
    <t>الحدادون وبرادو العدد - صانعو العدد الخرون</t>
  </si>
  <si>
    <t>عامل تجميع</t>
  </si>
  <si>
    <t>عامل تركيب وتجميع مشغولت معدنيه</t>
  </si>
  <si>
    <t>عامل تركيب مشغولت معدنيه</t>
  </si>
  <si>
    <t>عامل تجميع مشغولت معدنيه - براد</t>
  </si>
  <si>
    <t>عامل تركيب وتجميع الت ورش  المعادن</t>
  </si>
  <si>
    <t>عامل تركيب وتجميع اللت  عدا الت ورش  المعادن</t>
  </si>
  <si>
    <t>عامل تركيب وتجميع هياكل الطائرات</t>
  </si>
  <si>
    <t>عامل تركيب محركات الطائرات</t>
  </si>
  <si>
    <t>عامل تثبيت الماكينات في اماكنها</t>
  </si>
  <si>
    <t>عامل صيانه واصلح الت الحتراق</t>
  </si>
  <si>
    <t>عامل صيانه واصلح تربينات</t>
  </si>
  <si>
    <t>عامل صيانه واصلح ماكينات بحريه</t>
  </si>
  <si>
    <t xml:space="preserve">عامل صيانه واصلح ماكينات ورش </t>
  </si>
  <si>
    <t>عامل صيانه واصلح الت المناجم</t>
  </si>
  <si>
    <t>عامل صيانه واصلح الت الطباعه</t>
  </si>
  <si>
    <t>عامل صيانه واصلح الت الغزل والنسيج</t>
  </si>
  <si>
    <t>عامل صيانه واصلح الت تشغيل الخشاب</t>
  </si>
  <si>
    <t>عامل صيانه واصلح الت زراعيه</t>
  </si>
  <si>
    <t>عامل صيانه واصلح ماكينات تحريك</t>
  </si>
  <si>
    <t>عامل صيانه واصلح الت المكاتب</t>
  </si>
  <si>
    <t>عامل صيانه واصلح الثلجات والتكييف</t>
  </si>
  <si>
    <t>عامل صيانه واصلح الدراجات - عجلتي</t>
  </si>
  <si>
    <t>عمال تركيب وتجميع وصيانه الت - اخرون</t>
  </si>
  <si>
    <t>ميكانيكى صيانة الت</t>
  </si>
  <si>
    <t>مساعد ميكانيكى</t>
  </si>
  <si>
    <t>عامل صنع واصلح الجهزه الدقيقه - عام</t>
  </si>
  <si>
    <t>عامل صنع الساعات</t>
  </si>
  <si>
    <t>عامل اصلح الساعات - ساعاتي</t>
  </si>
  <si>
    <t>عامل صنع واصلح الجهزه البصريه</t>
  </si>
  <si>
    <t xml:space="preserve">عامل اصلح اجهزه القياس </t>
  </si>
  <si>
    <t>عامل اصلح عدادات ميكانيكيه</t>
  </si>
  <si>
    <t>عامل صنع واصلح عدادات الطائرات</t>
  </si>
  <si>
    <t>عامل تركيب وتجميع الجهزه الدقيقه</t>
  </si>
  <si>
    <t>عامل صنع واصلح الطراف الصناعيه</t>
  </si>
  <si>
    <t>عامل تركيب واصلح اجهزه التصوير</t>
  </si>
  <si>
    <t>عامل صنع واصلح ماكينات الخياطه</t>
  </si>
  <si>
    <t>عامل صنع واصلح الصنج والموازين</t>
  </si>
  <si>
    <t>عمال صنع واصلح الساعات والجهزه الدقيقه - اخرون</t>
  </si>
  <si>
    <t>ميكانيكي سيارات بنزين</t>
  </si>
  <si>
    <t>ميكانيكي سيارات ديزل</t>
  </si>
  <si>
    <t>مشرف ميكانيكى ديزل</t>
  </si>
  <si>
    <t>ميكانيكي جرارات</t>
  </si>
  <si>
    <t>ميكانيكي موتوسيكلت</t>
  </si>
  <si>
    <t>ميكانيكي اصلح قاطرات سكه حديد ديزل</t>
  </si>
  <si>
    <t>ميكانيكي اصلح قاطرات سكه حديد بخاريه</t>
  </si>
  <si>
    <t>ميكانيكى محركات ديزل</t>
  </si>
  <si>
    <t>ميكانيكى المركبات الليه - الخرون</t>
  </si>
  <si>
    <t>ميكانيكي اصلح محركات الطائرات العاديه - عام</t>
  </si>
  <si>
    <t>ميكانيكي اصلح محركات الطائرات النفاثه</t>
  </si>
  <si>
    <t>عامل صيانه - عام</t>
  </si>
  <si>
    <t>مشغل مضخة خرسانة</t>
  </si>
  <si>
    <t>مشغل معدة</t>
  </si>
  <si>
    <t>مشغل معدات ثقيله</t>
  </si>
  <si>
    <t>ميكانيكى معدات ثقيلة</t>
  </si>
  <si>
    <t>ميكانيكي اصلح معدات البوتاجازات المنزليه</t>
  </si>
  <si>
    <t>عامل مراقبه جوده النتاج في مصانع اللت والمعدات</t>
  </si>
  <si>
    <t>عامل صيانه مرافق</t>
  </si>
  <si>
    <t>عمال تركيب وتجميع وصيانه اللت والجهزه الدقيقه - اخرون</t>
  </si>
  <si>
    <t>كهربائى صيانه</t>
  </si>
  <si>
    <t>مساعد كهربائى</t>
  </si>
  <si>
    <t>كهربائي معدات كهربائيه - كهربائي</t>
  </si>
  <si>
    <t>كهربائي تركيب واصلح محركات ومعدات  ومولدات</t>
  </si>
  <si>
    <t>كهربائي تركيب واصلح محولت</t>
  </si>
  <si>
    <t>كهربائي تركيب واصلح لوحات توزيع</t>
  </si>
  <si>
    <t>كهربائي تركيب واصلح اجهزه الضبط</t>
  </si>
  <si>
    <t xml:space="preserve">كهربائي تركيب واصلح اجهزه القياس </t>
  </si>
  <si>
    <t>كهربائي تركيب واصلح مصاعد كهربائيه</t>
  </si>
  <si>
    <t>كهربائي تركيب واصلح اجهزه التبريد</t>
  </si>
  <si>
    <t>كهربائي تركيب واصلح سيارات</t>
  </si>
  <si>
    <t>فنى كهربائى سيارات</t>
  </si>
  <si>
    <t>كهربائي تركيب واصلح بطاريات</t>
  </si>
  <si>
    <t>كهربائي تركيب واصلح اجهزه الشاره والتحكم</t>
  </si>
  <si>
    <t>كهربائي تركيب واصلح الت المكاتب</t>
  </si>
  <si>
    <t>كهربائي تركيب واصلح معدات منزليه</t>
  </si>
  <si>
    <t>تركيب وصيانة كهربائية</t>
  </si>
  <si>
    <t>عمال تركيب واصلح وصيانه المعدات الكهربائيه - اخرون</t>
  </si>
  <si>
    <t>كهربائي تركيب واصلح معدات الكترونيه - عام</t>
  </si>
  <si>
    <t>كهربائي اجهزه راديو وتلفزيون</t>
  </si>
  <si>
    <t>كهربائي  رادار</t>
  </si>
  <si>
    <t>صيانة وتركيب نظم القمار الصناعية</t>
  </si>
  <si>
    <t>كهربائي - لسلكي</t>
  </si>
  <si>
    <t>كهربائي - اجهزه قياسي</t>
  </si>
  <si>
    <t>كهربائي - اجهزه طبيه وصناعيه</t>
  </si>
  <si>
    <t>كهربائي - الت احصائيه الكترون</t>
  </si>
  <si>
    <t>عمال تركيب واصلح الجهزه اللكترونيه</t>
  </si>
  <si>
    <t>عامل تجميع معدات كهربائيه - دفايه  مروحه .... الخ</t>
  </si>
  <si>
    <t>عامل تجميع معدات الكترونيه - راديو  تليفزيون ....الخ</t>
  </si>
  <si>
    <t>عامل تجميع اسلك المعدات الكهربائيه</t>
  </si>
  <si>
    <t>عامل تجهيز اسلك</t>
  </si>
  <si>
    <t>عامل لف الملفات الكهربائيه بالماكينه</t>
  </si>
  <si>
    <t>عامل لف الملفات الكهربائيه باليد</t>
  </si>
  <si>
    <t>عامل تجميع المعدات الكهربائيه</t>
  </si>
  <si>
    <t>عامل اصلح راديو  كهربائي راديو</t>
  </si>
  <si>
    <t>عامل اصلح تليفزيون - كهربائي</t>
  </si>
  <si>
    <t>عمال اصلح الراديو والتليفزيون - اخرون</t>
  </si>
  <si>
    <t>كهربائي توصيلت عام</t>
  </si>
  <si>
    <t>كهربائي توصيلت - مباني</t>
  </si>
  <si>
    <t>كهربائي توصيلت - سفن</t>
  </si>
  <si>
    <t>كهربائي توصيلت - طائرات</t>
  </si>
  <si>
    <t>كهربائي توصيلت - مركبات</t>
  </si>
  <si>
    <t>كهربائي توصيلت - مسرح واستديو</t>
  </si>
  <si>
    <t>كهربائيو التوصيلت - الخرون</t>
  </si>
  <si>
    <t>عامل تركيب تليفون</t>
  </si>
  <si>
    <t>عامل تركيب تلغراف</t>
  </si>
  <si>
    <t>عامل اصلح تليفون - ميكانيكي تليفون</t>
  </si>
  <si>
    <t>عامل اصلح تلغراف - ميكانيكي تلغراف</t>
  </si>
  <si>
    <t>عامل - كهربائي شبكات ضغط عالي</t>
  </si>
  <si>
    <t>عامل - كهربائي شبكات ضغط منخفضي</t>
  </si>
  <si>
    <t>عامل الخطوط الكهربائيه لوسائل النقل</t>
  </si>
  <si>
    <t>عامل خطوط كهربائيه - تلغراف</t>
  </si>
  <si>
    <t>عامل لحام كابلت كهربائيه - كهربائي</t>
  </si>
  <si>
    <t>عمال الخطوط الكهربائيه ووصل الكابلت</t>
  </si>
  <si>
    <t>عامل مراقبه جوده النتاج للمعدات الكهربائيه</t>
  </si>
  <si>
    <t>عامل صاري لسلكي</t>
  </si>
  <si>
    <t>عمال تركيب واصلح وصيانه المعدات الكهربائيه</t>
  </si>
  <si>
    <t>عامل تشغيل اجهزه الرسال بمحطات الراديو والتلفزيون</t>
  </si>
  <si>
    <t>عامل تشغيل اجهزه الذاعه - راديو</t>
  </si>
  <si>
    <t>عامل تشغيل اجهزه الذاعه والتلفزيون</t>
  </si>
  <si>
    <t>عمال تشغيل استوديوهات - الخرون</t>
  </si>
  <si>
    <t>عامل تشغيل معدات تسجيل الصوت</t>
  </si>
  <si>
    <t>عامل تشغيل معدات نقل وتكبير الصوت</t>
  </si>
  <si>
    <t>عامل ميكانيكي اله عرضي سينمائي</t>
  </si>
  <si>
    <t>عمال تشغيل معدات السينما - الخرون</t>
  </si>
  <si>
    <t>سمكري ادوات صحيه</t>
  </si>
  <si>
    <t>عامل تركيب مواسير - سمكري مواسير</t>
  </si>
  <si>
    <t>- عامل تركيب مواسير بالسفن - سمكري</t>
  </si>
  <si>
    <t>عامل تركيب مواسير وانابيب طائرات</t>
  </si>
  <si>
    <t>عامل انتاج اكريليك</t>
  </si>
  <si>
    <t>سمكريو الدوات الصحيه - الخرون</t>
  </si>
  <si>
    <t>مدرب لحام</t>
  </si>
  <si>
    <t>لحام آرجـون</t>
  </si>
  <si>
    <t>لحام بالكسجين والكهرباء</t>
  </si>
  <si>
    <t>لحام</t>
  </si>
  <si>
    <t>لحام بالكهرباء باليد</t>
  </si>
  <si>
    <t>لحام بالكهرباء بالماكينه</t>
  </si>
  <si>
    <t>لحام بالمركبات الحراريه</t>
  </si>
  <si>
    <t>لحام بالمركبات المعدنيه</t>
  </si>
  <si>
    <t>عامل تشغيل جهاز لحام بالمقاومه الكهربائيه</t>
  </si>
  <si>
    <t>عامل قطع معادن بالكسجين باليد</t>
  </si>
  <si>
    <t>عامل لحام وقطع تحت الماء</t>
  </si>
  <si>
    <t>عامل قطع معادن بالكسجين بالماكينه</t>
  </si>
  <si>
    <t>اللحامون وعمال القطع باللهب الخرون</t>
  </si>
  <si>
    <t>اخصائى تشكيل معادن</t>
  </si>
  <si>
    <t>عامل تشكيل الواح معدنيه رقيقه - عام</t>
  </si>
  <si>
    <t>عامل - سمكري سيارات مركبات</t>
  </si>
  <si>
    <t>عامل ضبط زوايا واتزان</t>
  </si>
  <si>
    <t>- عامل - طائرات - سمكري طائرات</t>
  </si>
  <si>
    <t>عامل  تركيبات تكييف هواء</t>
  </si>
  <si>
    <t>عامل - زخارف - عمال خان الخليلي</t>
  </si>
  <si>
    <t xml:space="preserve">عامل تشكيل الواح نحاسيه - دقاق نحاس </t>
  </si>
  <si>
    <t>عامل تشكيل الواح صفيح - سمكري بلدي</t>
  </si>
  <si>
    <t>عمال تشكيل اللواح المعدنيه الرقيقه</t>
  </si>
  <si>
    <t>عامل شنكار - انشاءات معدنيه</t>
  </si>
  <si>
    <t>عامل تشكيل في النشاءات المعدنيه</t>
  </si>
  <si>
    <t>عامل تركيب - انشاءات معدنيه</t>
  </si>
  <si>
    <t>عامل تركيبات ـ سكك حديد</t>
  </si>
  <si>
    <t>عامل تشكيل الواح السفن</t>
  </si>
  <si>
    <t>عامل تركيب بدن السفن المعدنيه</t>
  </si>
  <si>
    <t>عامل اصلح بدن السفن</t>
  </si>
  <si>
    <t>عامل هياكل سفن</t>
  </si>
  <si>
    <t>عامل صنع واصلح مراجل بخاريه</t>
  </si>
  <si>
    <t>عامل - برشامجي باليد</t>
  </si>
  <si>
    <t>عامل - برشامجي بالماكينه</t>
  </si>
  <si>
    <t>عمال تشغيل وتشييد انشاءات معدنيه - اخرون</t>
  </si>
  <si>
    <t>عامل صنع جواهر - عام</t>
  </si>
  <si>
    <t>عامل اصلح جواهر</t>
  </si>
  <si>
    <t>عامل قطع وصقل الحجار الكريمه</t>
  </si>
  <si>
    <t xml:space="preserve">عامل تثبيت الحجار الكريمه - تركيب الفصوص </t>
  </si>
  <si>
    <t>صانع ذهب وفضه</t>
  </si>
  <si>
    <t>عامل تشغيل ماكينه سحب - عامل تسطيح</t>
  </si>
  <si>
    <t>صانع رقائق المعادن الثمنيه بالدق</t>
  </si>
  <si>
    <t>عامل الحفر علي الجواهر</t>
  </si>
  <si>
    <t>عمال تشغيل الجواهر - الخرون</t>
  </si>
  <si>
    <t>نفاخ زجاج - عدا اجهزه المعامل</t>
  </si>
  <si>
    <t>نفاخ زجاج لصنع اجهزه المعامل</t>
  </si>
  <si>
    <t>عامل مكبس  يدوي للزجاج</t>
  </si>
  <si>
    <t>عامل تشغيل ماكينه نفخ الزجاج</t>
  </si>
  <si>
    <t>عامل تشغيل ماكينه سحب الزجاج</t>
  </si>
  <si>
    <t>عامل تشغيل مكبس  ميكانيكي للزجاج</t>
  </si>
  <si>
    <t>عامل تقطيع زجاج البصريات</t>
  </si>
  <si>
    <t>عامل تجليخ وصقل زجاج البصريات</t>
  </si>
  <si>
    <t>عامل شطف زوايا زجاج البصريات</t>
  </si>
  <si>
    <t>عامل تفضيض  المرايا - مراياتي</t>
  </si>
  <si>
    <t>عامل ثني انابيب الزجاج</t>
  </si>
  <si>
    <t>عامل تشغيل ماكينه تسطيح الزجاج</t>
  </si>
  <si>
    <t>عامل تلميع الزجاج المسطح</t>
  </si>
  <si>
    <t>عامل تقطيع الزجاج</t>
  </si>
  <si>
    <t>عامل الكشف علي الزجاج المسطح</t>
  </si>
  <si>
    <t>عامل شطف زوايا الزجاج</t>
  </si>
  <si>
    <t>عامل صنع انابيب الزجاج</t>
  </si>
  <si>
    <t>عامل صنع الخيوط الزجاجيه</t>
  </si>
  <si>
    <t>عمال تشكيل وقطع وتجليخ وتشطيب</t>
  </si>
  <si>
    <t>صانع الخزف والفخار - عام</t>
  </si>
  <si>
    <t>مصمم منتجات الخزف والصيني</t>
  </si>
  <si>
    <t>مصمم خزف</t>
  </si>
  <si>
    <t>صانع قوالب الصيني</t>
  </si>
  <si>
    <t>عامل تشكيل منتجات الخزف والصيني</t>
  </si>
  <si>
    <t>خراط خزف وصيني</t>
  </si>
  <si>
    <t>عامل صب عجينه الخزف والصيني باليد</t>
  </si>
  <si>
    <t>عامل تشغيل مكبس  يدوي لصنع الخزف والصيني</t>
  </si>
  <si>
    <t>عامل تشغيل مكبس  ميكانيكي</t>
  </si>
  <si>
    <t>عامل تشغيل ماكينه بثق الطفله</t>
  </si>
  <si>
    <t>عمال تشكيل الخزف ومنتجات الطفل</t>
  </si>
  <si>
    <t>عامل فرن صهر الزجاج</t>
  </si>
  <si>
    <t>عامل فرن تخمير الزجاج</t>
  </si>
  <si>
    <t>عامل تشغيل فرن حرق الخزف والصيني</t>
  </si>
  <si>
    <t>عامل تشغيل قمينه طوب</t>
  </si>
  <si>
    <t>عمال افران الزجاج والخزف والصيني</t>
  </si>
  <si>
    <t>حفار زجاج</t>
  </si>
  <si>
    <t>نقاش  زجاج</t>
  </si>
  <si>
    <t>عامل نقش  الزجاج بالرمل المضغوط</t>
  </si>
  <si>
    <t>عمال حفر ونقش  الزجاج - الخرون</t>
  </si>
  <si>
    <t>عامل دهان الزجاج باليد</t>
  </si>
  <si>
    <t>عامل دهان الخزف والصيني باليد</t>
  </si>
  <si>
    <t>عامل زخرفه الخزف والصيني</t>
  </si>
  <si>
    <t xml:space="preserve">عامل دهان الخزف والصيني بالرش </t>
  </si>
  <si>
    <t xml:space="preserve">عامل دهان الخزف والصيني بالغمس </t>
  </si>
  <si>
    <t>عمال دهان وزخرفه الزجاج والخزف - اخرون</t>
  </si>
  <si>
    <t>عامل دهانات</t>
  </si>
  <si>
    <t>عامل خلط مواد صنع الزجاج</t>
  </si>
  <si>
    <t>عامل اعداد طلء الخزف</t>
  </si>
  <si>
    <t>عامل طحن الطفله</t>
  </si>
  <si>
    <t>عامل مزج وصجن الطفله</t>
  </si>
  <si>
    <t>عامل خلط مواد الصنفره</t>
  </si>
  <si>
    <t>عمال صناعه الزجاج والخزف والصيني - اخرون</t>
  </si>
  <si>
    <t>عامل تشغيل ماكينه خلط المطاط</t>
  </si>
  <si>
    <t>عامل تشغيل ماكينه جندره المطاط</t>
  </si>
  <si>
    <t>عامل تشغيل ماكينه بثق المطاط</t>
  </si>
  <si>
    <t>عامل تشغيل ماكينه كبس  المطاط</t>
  </si>
  <si>
    <t>عامل تجميع منتجات المطاط</t>
  </si>
  <si>
    <t>عامل تشغيل ماكينه صنع اللدائن بالحقن</t>
  </si>
  <si>
    <t xml:space="preserve">عامل تشغيل ماكينه صنع اللدائن بالكبس </t>
  </si>
  <si>
    <t>عامل تشغيل ماكينه بثق اللدائن</t>
  </si>
  <si>
    <t>عامل تشغيل مكبس  اللدائن</t>
  </si>
  <si>
    <t>عامل تجميع منتجات اللدائن</t>
  </si>
  <si>
    <t>عمال صناعه المطاط ومنتجات اللدائن</t>
  </si>
  <si>
    <t>عامل صناعه تيله الطارات</t>
  </si>
  <si>
    <t>عامل صناعه الطارات</t>
  </si>
  <si>
    <t>عامل فلكنه الطارات بالبخار</t>
  </si>
  <si>
    <t>عامل كسوه الطارات</t>
  </si>
  <si>
    <t>عامل اصلح كاوتشوك - لحام كاوتشوك</t>
  </si>
  <si>
    <t>عمال صناعه واصلح الطارات - الخرون</t>
  </si>
  <si>
    <t>صانع صناديق ورق باليد</t>
  </si>
  <si>
    <t>عامل تشغيل ماكينه تصميغ الكرتون</t>
  </si>
  <si>
    <t>عامل تشغيل ماكينه تعليم الكرتون</t>
  </si>
  <si>
    <t>عامل تشغيل ماكينه قطع الكرتون</t>
  </si>
  <si>
    <t>عامل تشغيل ماكينه صنع صناديق الكرتون</t>
  </si>
  <si>
    <t>عامل تشغيل ماكينه صنع اكياسي الورق</t>
  </si>
  <si>
    <t xml:space="preserve">عامل تشغيل ماكينه صنع الكياس </t>
  </si>
  <si>
    <t>عمال صنع منتجات الورق والكرتون - اخرون</t>
  </si>
  <si>
    <t>عامل طباعه - عام</t>
  </si>
  <si>
    <t>طباع عام</t>
  </si>
  <si>
    <t>صفاف حروف باليد - جميع يدوي</t>
  </si>
  <si>
    <t>عامل تشغيل ماكينه السبك - لدلو</t>
  </si>
  <si>
    <t>عامل تشغيل ماكينه اللينوتيب</t>
  </si>
  <si>
    <t>عامل صفاف وتشغيل ماكينه اشرطه</t>
  </si>
  <si>
    <t>عامل تشغيل ماكينه المونتيب - سباك</t>
  </si>
  <si>
    <t>عامل التوضيب</t>
  </si>
  <si>
    <t>عامل التصفيح</t>
  </si>
  <si>
    <t>عامل تشغيل ماكينه السبك الفوتوغرافي</t>
  </si>
  <si>
    <t>عامل توضيب افلم السبك الفوتوغرافي</t>
  </si>
  <si>
    <t>عمال صف الحروف يدويا واليا - اخرون</t>
  </si>
  <si>
    <t>عامل تشغيل ماكينه طباعه اسطوانيه</t>
  </si>
  <si>
    <t>عامل تشغيل ماكينه طباعه مسطحه</t>
  </si>
  <si>
    <t>عامل تشغيل ماكينه طباعه دواره</t>
  </si>
  <si>
    <t>عامل طباعه ليتوغرافيه اوفست</t>
  </si>
  <si>
    <t>عامل طباعه ليتوغرافيه مباشره - حجر</t>
  </si>
  <si>
    <t>عامل طباعه غائره - روتوغرافيه</t>
  </si>
  <si>
    <t>عامل تشغيل ماكينه طبع ورق الحائط</t>
  </si>
  <si>
    <t>عمال تشغيل ماكينات الطباعه - الطباعون اخرون</t>
  </si>
  <si>
    <t>عامل صب الفرم - استربوتيت</t>
  </si>
  <si>
    <t>عامل النكلشه بالطلء الكهربائي</t>
  </si>
  <si>
    <t>عمال صب الفرم والنكلشه - الخرون</t>
  </si>
  <si>
    <t>حفار الحجار الليتوغرافيه</t>
  </si>
  <si>
    <t>حفار اللواح المعدنيه</t>
  </si>
  <si>
    <t>حفار المهات - المتاريس  - يدويا</t>
  </si>
  <si>
    <t>حفار اكليشهات الخشب والمطاط</t>
  </si>
  <si>
    <t>حفار اختام</t>
  </si>
  <si>
    <t>حفار السلندرات المعدنيه - بالماكينه</t>
  </si>
  <si>
    <t>عامل تشغيل ماكينه الحفر اللي</t>
  </si>
  <si>
    <t>عامل تشغيل ماكينه النقل الليتوغراف</t>
  </si>
  <si>
    <t>حفار المعادن بواسطه الحماض  الكيماويه</t>
  </si>
  <si>
    <t>عمال حفر اكليشهات الطبع - عد1الحفر</t>
  </si>
  <si>
    <t>حفار فوتوغرافي - عام</t>
  </si>
  <si>
    <t>عامل تصوير الي</t>
  </si>
  <si>
    <t>عامل الرتوش  علي السوالب</t>
  </si>
  <si>
    <t>عامل نقل الصور علي اللواح المعدنيه ضوئيا</t>
  </si>
  <si>
    <t xml:space="preserve">حفار فوتوغرافي بالحماض </t>
  </si>
  <si>
    <t>عامل الرتوش  علي اللواح المعدنيه</t>
  </si>
  <si>
    <t>عمال الحفر الفوتوغرافي - الخرون</t>
  </si>
  <si>
    <t>عامل تجليد باليد - مجلد</t>
  </si>
  <si>
    <t>عامل تجليد بالماكينه</t>
  </si>
  <si>
    <t>عامل تذهيب الكتب باليد</t>
  </si>
  <si>
    <t>عامل تذهيب الكتب بالماكينه</t>
  </si>
  <si>
    <t>مجلد كتب</t>
  </si>
  <si>
    <t>عمال التجليد ومن اليهم - الخرون</t>
  </si>
  <si>
    <t>عامل تحميض  فوتوغرافي باللوان</t>
  </si>
  <si>
    <t>عامل تحميض  فوتوغرافي ابيض  واسود</t>
  </si>
  <si>
    <t>عامل طبع فوتوغرافي</t>
  </si>
  <si>
    <t>عامل تكبير فوتوغرافي</t>
  </si>
  <si>
    <t>عمال التحميض  والطبع الفوتوغرافي</t>
  </si>
  <si>
    <t>عامل رسم علي الشبكه الحريريه</t>
  </si>
  <si>
    <t>عامل طبع بالشبكه الحريريه</t>
  </si>
  <si>
    <t>عامل طبع بالكليشهات الخشبيه</t>
  </si>
  <si>
    <t>عامل طبع علي القمشه</t>
  </si>
  <si>
    <t>عمال الطباعه الذين لم ترد مهنتهم - اخرون</t>
  </si>
  <si>
    <t xml:space="preserve">نقاش </t>
  </si>
  <si>
    <t>نقاش  مباني</t>
  </si>
  <si>
    <t>نقاش  منشات حديديه وهياكل سفن</t>
  </si>
  <si>
    <t>نقاشو النشاءات - الخرون</t>
  </si>
  <si>
    <t>نقاش  وعامل زخرفه - عام</t>
  </si>
  <si>
    <t>نقاش  بالفرشه</t>
  </si>
  <si>
    <t xml:space="preserve">نقاش  بالرش </t>
  </si>
  <si>
    <t>نقاش  بالغمس  باليد</t>
  </si>
  <si>
    <t>نقاش  لفتات - خطاط يفط</t>
  </si>
  <si>
    <t>نقاش  سيارات - نقاش  دوكو</t>
  </si>
  <si>
    <t>النقاشون الذين لم ترد مهنهم فيما سبق - اخرون</t>
  </si>
  <si>
    <t>عامل صنع اللت الموسيقيه</t>
  </si>
  <si>
    <t>عمال اصلح وضبط اللت الموسيقيه</t>
  </si>
  <si>
    <t>عمال صنع وضبط اللت الموسيقيه</t>
  </si>
  <si>
    <t>صانع سلل - اسبته - مشنات 000الخ</t>
  </si>
  <si>
    <t xml:space="preserve">صانع اقفاص  - قفاص </t>
  </si>
  <si>
    <t>صانع الثاث من القش  والخيرزان</t>
  </si>
  <si>
    <t>صانع مقاطف</t>
  </si>
  <si>
    <t>صانع حصر - حصري</t>
  </si>
  <si>
    <t>صانع فرش  باليد</t>
  </si>
  <si>
    <t>( صانع مكانس  (  مقشات</t>
  </si>
  <si>
    <t>صانع سدد من الغاب والكياب</t>
  </si>
  <si>
    <t xml:space="preserve">عمال صنع السلل - السبته - والفرش </t>
  </si>
  <si>
    <t>عامل صنع المنتجات الخرسانيه</t>
  </si>
  <si>
    <t>عامل صنع منتجات السبستوس  والسمنت</t>
  </si>
  <si>
    <t>عامل صنع الحجار المصبوبه</t>
  </si>
  <si>
    <t>عمال صنع المنتجات التعدنيه - اخرون</t>
  </si>
  <si>
    <t>- عامل تنظيف القطن من الشوائب - عامل تضريبه</t>
  </si>
  <si>
    <t>- عامل تغذيه دولب الحليج بالقطن - عامل تلقيم دواليب زهر</t>
  </si>
  <si>
    <t>عامل تلقيم دواليب اسكارتو</t>
  </si>
  <si>
    <t>عامل تلقيم شفاط</t>
  </si>
  <si>
    <t>عامل تسليك دولب الحلج - عامل سكينه</t>
  </si>
  <si>
    <t>عامل اصلح دولب الحليج  نجار دولب</t>
  </si>
  <si>
    <t>عامل تربيط دولب الحليج - ربيط</t>
  </si>
  <si>
    <t>- عامل فرفره القطن المحلوج - عامل فرفره الشعر والمقاوله</t>
  </si>
  <si>
    <t>- عامل مبخره بذره القطن - بالمباخر</t>
  </si>
  <si>
    <t>عامل عبوه اسكارتو</t>
  </si>
  <si>
    <t>عمال حلج القطان - الخرون</t>
  </si>
  <si>
    <t>عامل صنع ورق الصنفره</t>
  </si>
  <si>
    <t>عامل صنع مشمع الرضيه</t>
  </si>
  <si>
    <t>عامل صنع المشمع</t>
  </si>
  <si>
    <t>عامل تشغيل ماكينه صنع الثلج</t>
  </si>
  <si>
    <t>عامل صنع الزراير - غير المعدنيه</t>
  </si>
  <si>
    <t>عامل صنع الكرينه</t>
  </si>
  <si>
    <t>عامل صنع الغرابيل والمناخل</t>
  </si>
  <si>
    <t>صانع لعب الطفال</t>
  </si>
  <si>
    <t>عامل تعطين الكتان</t>
  </si>
  <si>
    <t>عامل تحنيط الطيور والحيوانات</t>
  </si>
  <si>
    <t>عامل تشغيل ماكينه تعبئه وقفل الوعيه والمعلبات</t>
  </si>
  <si>
    <t>عامل تعبئه</t>
  </si>
  <si>
    <t>عامل تشغيل ماكينه لف - مكنجي تغليف</t>
  </si>
  <si>
    <t>عامل تشغيل ماكينه لصق بطاقات</t>
  </si>
  <si>
    <t>عامل صنع الختام المطاط</t>
  </si>
  <si>
    <t>عمال النتاج الذين لم ترد مهنهم فيما سبق - اخرون</t>
  </si>
  <si>
    <t>متدرب بالجزام</t>
  </si>
  <si>
    <t>متدرب بالدرن</t>
  </si>
  <si>
    <t>فنى أبنية</t>
  </si>
  <si>
    <t>بناء بالطوب</t>
  </si>
  <si>
    <t xml:space="preserve">بناء بالدبش </t>
  </si>
  <si>
    <t>بناء بالطوب الحريري - بناء افران</t>
  </si>
  <si>
    <t>عامل تركيب بلط - مبلط</t>
  </si>
  <si>
    <t>عامل تركيب قيشاني</t>
  </si>
  <si>
    <t>عامل صنع وتركيب موزايكو</t>
  </si>
  <si>
    <t>عامل تقطيع وتركيب الرخام - مرخماتي</t>
  </si>
  <si>
    <t xml:space="preserve">مبلط بالدبش </t>
  </si>
  <si>
    <t>عامل الكحله</t>
  </si>
  <si>
    <t>عامل رصف الشوارع بالطوب او الحجر</t>
  </si>
  <si>
    <t>البناءون بالطوب والحجار ومركبو البلط - اخرون</t>
  </si>
  <si>
    <t>نجار مسلح</t>
  </si>
  <si>
    <t>عامل تسليح الخرسانه - حداد مسلح</t>
  </si>
  <si>
    <t>عامل خرسانه مسلحه - عامل طبليه</t>
  </si>
  <si>
    <t>عامل تركيب الفسيفساء تيرازو</t>
  </si>
  <si>
    <t>عامل تشغيل ماكينه خلط الخرسانه</t>
  </si>
  <si>
    <t>عمال الخرسانه المسلحه وعمال تركيب الفسيفساء</t>
  </si>
  <si>
    <t>عامل تغطيه السقف بالمواد</t>
  </si>
  <si>
    <t>عامــل</t>
  </si>
  <si>
    <t>عامل ممتاز</t>
  </si>
  <si>
    <t xml:space="preserve">عامل خاص </t>
  </si>
  <si>
    <t>عامل اول</t>
  </si>
  <si>
    <t>عامل فنى تنفيذ</t>
  </si>
  <si>
    <t>نجــار</t>
  </si>
  <si>
    <t>نجار تركيبات - عام</t>
  </si>
  <si>
    <t>فنى نجار</t>
  </si>
  <si>
    <t>نجار صنع باب وشباك</t>
  </si>
  <si>
    <t>نجار تركيب باب وشباك - نجار معمار</t>
  </si>
  <si>
    <t>نجار مسرح واستديو - نجار ديكورات</t>
  </si>
  <si>
    <t>نجار تركيبات بالطائرات</t>
  </si>
  <si>
    <t>نجار تركيبات بالسفن</t>
  </si>
  <si>
    <t>نجار فليك</t>
  </si>
  <si>
    <t>نجار بلطه ثقيله</t>
  </si>
  <si>
    <t>نجار تركيب خشب ارضيات</t>
  </si>
  <si>
    <t>نجار تركيب باركيه</t>
  </si>
  <si>
    <t>نجارو النشاءات - الخرون</t>
  </si>
  <si>
    <t>مبيض  - عام</t>
  </si>
  <si>
    <t>مبيض  اسمنت</t>
  </si>
  <si>
    <t>مبيض  زخرفي</t>
  </si>
  <si>
    <t>مبيض  طرطشه</t>
  </si>
  <si>
    <t xml:space="preserve">مبيض  جبس </t>
  </si>
  <si>
    <t xml:space="preserve">فورمجى جبس </t>
  </si>
  <si>
    <t>عمال البياض  - الخرون</t>
  </si>
  <si>
    <t>عامل وضع طبقه عازله للحراره</t>
  </si>
  <si>
    <t>عامل وضع طبقه عازله للرطوبه</t>
  </si>
  <si>
    <t>عامل وضع طبقه عازله للصوت</t>
  </si>
  <si>
    <t>عامل وضع طبقه عازله للثلجات والتكييف</t>
  </si>
  <si>
    <t>واضعو المواد العازله للحراره</t>
  </si>
  <si>
    <t>عامل معمارى</t>
  </si>
  <si>
    <t>عامل تركيب الزجاج في المباني</t>
  </si>
  <si>
    <t>عامل تركيب الطوب الزجاجي</t>
  </si>
  <si>
    <t>عامل تركيب زجاج المركبات</t>
  </si>
  <si>
    <t xml:space="preserve">عامل تركيب الزجاج في اطارات الرصاص  اوالنحاس </t>
  </si>
  <si>
    <t>تركيب ارضيات وأسقف معلقة</t>
  </si>
  <si>
    <t>عمال تركيب الزجاج - الخرون</t>
  </si>
  <si>
    <t>عامل تركيب ارضيات اسفلتيه</t>
  </si>
  <si>
    <t>عامل تركيب ارضيات من بلط كاوتشوك</t>
  </si>
  <si>
    <t>عامل تركيب مشمع ارضيات - لينوليوم</t>
  </si>
  <si>
    <t>عامل تركيب مواسير المجاري</t>
  </si>
  <si>
    <t>غطاس  بحري</t>
  </si>
  <si>
    <t>عامل حفر ابار المياه</t>
  </si>
  <si>
    <t>عامل تركيب السقالت</t>
  </si>
  <si>
    <t>عامل صناعه الحجر الصناعي</t>
  </si>
  <si>
    <t>عامل صناعه وضرب الطوب</t>
  </si>
  <si>
    <t>البناؤون والنجارون وغيرهم</t>
  </si>
  <si>
    <t>خراط ميكانيكى</t>
  </si>
  <si>
    <t>ميكانيكى</t>
  </si>
  <si>
    <t>ميكانيكى هيدروليك</t>
  </si>
  <si>
    <t>ميكانيكي تشغيل ماكينه ديزل لتوليد القوي</t>
  </si>
  <si>
    <t>ميكانيكي وعامل تشغيل  توربينات بخاريه</t>
  </si>
  <si>
    <t>ميكانيكي تشغيل توربينات مائيه</t>
  </si>
  <si>
    <t>ميكانيكي تشغيل مراجل بخاريه</t>
  </si>
  <si>
    <t>وقاد مرجل بخاري - عطشجي</t>
  </si>
  <si>
    <t>عامل توزيع الحمل بمحطات توليد</t>
  </si>
  <si>
    <t>عامل لوحه التوزيع بمحطات توليد</t>
  </si>
  <si>
    <t>عمال تشغيل ماكينات توليد القوي</t>
  </si>
  <si>
    <t>عامل تشغيل ماكينه ثابته - عام</t>
  </si>
  <si>
    <t>عامل تشغيل كباس  الهواء - عامل</t>
  </si>
  <si>
    <t>عامل تشغيل طلمبه ميكانيكه للمياه</t>
  </si>
  <si>
    <t>عامل تشغيل وحده تبريد</t>
  </si>
  <si>
    <t>عامل تشغيل وحده تدفئه وتكييف</t>
  </si>
  <si>
    <t>عامل تزييت وتشحيم الماكينات الثابت</t>
  </si>
  <si>
    <t>عمال تشغيل الماكينات الثابت</t>
  </si>
  <si>
    <t>عامل شحن وتفريغ - بحري</t>
  </si>
  <si>
    <t>عامل شحن السفن بالبترول والزيوت</t>
  </si>
  <si>
    <t>عامل شحن عربات البضاعه بالسكه الحديد</t>
  </si>
  <si>
    <t>عامل تحميل بذره</t>
  </si>
  <si>
    <t>عامل ترحيل اسكارتو وبال</t>
  </si>
  <si>
    <t>عامل شحن طائرات</t>
  </si>
  <si>
    <t>- عامل داخل المخازن - شيال / استفجي / تستيف زهر</t>
  </si>
  <si>
    <t>عامل تستيف بذره</t>
  </si>
  <si>
    <t>- عامل تربيط بال - عامل تغليف وحزم</t>
  </si>
  <si>
    <t>عمال المواني وعمال الشحن والتفريغ</t>
  </si>
  <si>
    <t>عامل تثبيت الحبال في معدات الرفع</t>
  </si>
  <si>
    <t>عامل تثبيت الحبال الصلب بالسفن</t>
  </si>
  <si>
    <t>عامل تثبيت الحبال في حفر ابار</t>
  </si>
  <si>
    <t>خراز حبال</t>
  </si>
  <si>
    <t>عمال تركيب وخرز الحبال - الخرون</t>
  </si>
  <si>
    <t>عامل تشغيل ونش  كوبري</t>
  </si>
  <si>
    <t>عامل تشغيل ونش  - بيجه</t>
  </si>
  <si>
    <t>عامل تشغيل ونش  متنقل علي عربه</t>
  </si>
  <si>
    <t>عامل تشغيل ونش  طبليه</t>
  </si>
  <si>
    <t xml:space="preserve">عامل تشغيل ونش  قفص </t>
  </si>
  <si>
    <t>عامل تشغيل ونش  شوكه</t>
  </si>
  <si>
    <t>عمال تشغيل الوناش  والت الرفع</t>
  </si>
  <si>
    <t>عامل تشغيل ماكينه جاروف</t>
  </si>
  <si>
    <t>عامل تشغيل ماكينه حفر القنوات</t>
  </si>
  <si>
    <t xml:space="preserve">عامل تشغيل ماكينه كياش </t>
  </si>
  <si>
    <t>عامل تشغيل خلط اسفلت</t>
  </si>
  <si>
    <t xml:space="preserve">عامل تشغيل ماكينه تسويه وفرش </t>
  </si>
  <si>
    <t>عامل تشغيل مجموعه خلط اسفلتيه</t>
  </si>
  <si>
    <t>عامل تشغيل ماكينه رصف الطرق</t>
  </si>
  <si>
    <t xml:space="preserve">عامل تشغيل هراس </t>
  </si>
  <si>
    <t xml:space="preserve">عامل تشغيل ماكينه دق خوازيق الساس </t>
  </si>
  <si>
    <t>عامل تشغيل ماكينه تقشيط التربه</t>
  </si>
  <si>
    <t>عامل تشغيل كراكه</t>
  </si>
  <si>
    <t>عامل تشغيل بلدوزر ـ سائق معدات ثقيله</t>
  </si>
  <si>
    <t xml:space="preserve">عامل تشغيل ماكينه تسويه الرض </t>
  </si>
  <si>
    <t>عمال تشغيل ماكينات تحريك التربه</t>
  </si>
  <si>
    <t>عامل تزييت وتشحيم معدات نقل وتحريك</t>
  </si>
  <si>
    <t>عمال تشغيل معدات نقل وتحريك المواد</t>
  </si>
  <si>
    <t>رئيس  بحري</t>
  </si>
  <si>
    <t>بحري عجله القياده - دومنجي</t>
  </si>
  <si>
    <t>بحري ممتاز</t>
  </si>
  <si>
    <t>بحري عادي</t>
  </si>
  <si>
    <t>مراكبي بدون ترخيص  من اداره التراخيص  الملحيه</t>
  </si>
  <si>
    <t>عامل رباط السفن</t>
  </si>
  <si>
    <t>مشغل مرسى</t>
  </si>
  <si>
    <t>عامل انوار السفن</t>
  </si>
  <si>
    <t>عامل تفويل</t>
  </si>
  <si>
    <t>بحاره السفن والمراكب الشراعيه</t>
  </si>
  <si>
    <t>ميكانيكي بخار بالسفن</t>
  </si>
  <si>
    <t>ميكانيكي ديزل بالسفن</t>
  </si>
  <si>
    <t>ميكانيكي مراجل بخاريه بالسفن</t>
  </si>
  <si>
    <t>وقاد بالسفن</t>
  </si>
  <si>
    <t>ميكانيكو السفن ووقادوها - الخرون</t>
  </si>
  <si>
    <t>سائق قاطره سكه حديد بخاريه</t>
  </si>
  <si>
    <t>وقاد قاطره سكه حديد بخاريه</t>
  </si>
  <si>
    <t>سائق قاطره سكه حديد كهربائيه</t>
  </si>
  <si>
    <t>سائق قاطره سكه حديد ديزل</t>
  </si>
  <si>
    <t>سائقوا قاطرات السكه الحديد ووقادوه</t>
  </si>
  <si>
    <t>عامل فرمله بالسكه الحديد - فرملجي</t>
  </si>
  <si>
    <t>عامل اشاره بالسكه الحديد - عامل</t>
  </si>
  <si>
    <t>عامل تحويله بالسكه الحديد - محولجي</t>
  </si>
  <si>
    <t>ملحظ سائقين</t>
  </si>
  <si>
    <t>سائق</t>
  </si>
  <si>
    <t>سائق ممتاز</t>
  </si>
  <si>
    <t>سائق اول</t>
  </si>
  <si>
    <t>سائق ثانى</t>
  </si>
  <si>
    <t xml:space="preserve">سائق ترام او تروللي باص </t>
  </si>
  <si>
    <t>سائق سياره - ملكي او اجره</t>
  </si>
  <si>
    <t xml:space="preserve">سائق اتوبيس </t>
  </si>
  <si>
    <t>سائق سياره نقل</t>
  </si>
  <si>
    <t>سائق موتوسيكل</t>
  </si>
  <si>
    <t>سائق كلرك</t>
  </si>
  <si>
    <t xml:space="preserve">وناش </t>
  </si>
  <si>
    <t>سائق ونش  شوكه</t>
  </si>
  <si>
    <t>سائق ونش شوكة كهربائى</t>
  </si>
  <si>
    <t>سائق ونش ممرات ضيقة</t>
  </si>
  <si>
    <t>سائقو المركبات الليه - الخرون</t>
  </si>
  <si>
    <t>حمال / تباع / مندوب تسليم</t>
  </si>
  <si>
    <t>سائق مركبه ركوب يجرها حيوان - سائق</t>
  </si>
  <si>
    <t>سائق مركبه بضائع يجرها حيوان</t>
  </si>
  <si>
    <t>خيال</t>
  </si>
  <si>
    <t>جمال</t>
  </si>
  <si>
    <t>سائقو الحيوان والمركبات يجرها حيوان</t>
  </si>
  <si>
    <t>سائق مركبه تدفع باليد - عربجي يد</t>
  </si>
  <si>
    <t>سائق مركبه ذات بدال - سائق ترسيكل</t>
  </si>
  <si>
    <t>عامل فتح كوبري او هويس  او بوابه</t>
  </si>
  <si>
    <t>عامل تشغيل بوابه مزلقان سكه حديد</t>
  </si>
  <si>
    <t>ملحظ مناره - ملحظ فنار - جويه ا</t>
  </si>
  <si>
    <t>عامل تشحيم وتزييت وسائل النقل</t>
  </si>
  <si>
    <t>عامل دريسه - عسكري دريسه</t>
  </si>
  <si>
    <t>عمال تشغيل وسائل النقل الخرون</t>
  </si>
  <si>
    <t>عامل رباط سفينه</t>
  </si>
  <si>
    <t>فاعل - عامل عادي - عامل تراحيل</t>
  </si>
  <si>
    <t>عتال</t>
  </si>
  <si>
    <t>رئيس  عمال</t>
  </si>
  <si>
    <t xml:space="preserve">صاحب معاش </t>
  </si>
  <si>
    <t>Weekly Days off</t>
  </si>
  <si>
    <t>Med. Insurance</t>
  </si>
  <si>
    <t>Original
Graduation Certificate</t>
  </si>
  <si>
    <t>Original
Military Certificate</t>
  </si>
  <si>
    <t>Original
Birth Certificate</t>
  </si>
  <si>
    <t>Finger
Print Record</t>
  </si>
  <si>
    <t>Medical Form
No. 111</t>
  </si>
  <si>
    <t>SI Record</t>
  </si>
  <si>
    <t>Copy
SI Form 1</t>
  </si>
  <si>
    <t>Copy
SI Form 6</t>
  </si>
  <si>
    <t>Resignation
Date</t>
  </si>
  <si>
    <t>Notice
Date</t>
  </si>
  <si>
    <t>Meal
Allowance</t>
  </si>
  <si>
    <t>Date
Of Birth</t>
  </si>
  <si>
    <t>ID
Issuing Date</t>
  </si>
  <si>
    <t>ID
Exp. Date</t>
  </si>
  <si>
    <t>Marital
Status</t>
  </si>
  <si>
    <t>Military
Service</t>
  </si>
  <si>
    <t>Status</t>
  </si>
  <si>
    <t>SI Job Code</t>
  </si>
  <si>
    <t>GM</t>
  </si>
  <si>
    <t>HR</t>
  </si>
  <si>
    <t>HR and Admin</t>
  </si>
  <si>
    <t>بكالوريوس هندسة</t>
  </si>
  <si>
    <t>ليسانس اداب</t>
  </si>
  <si>
    <t>دبلوم تجارة</t>
  </si>
  <si>
    <t>بكالوريوس خدمة اجتماعية</t>
  </si>
  <si>
    <t>بدون مؤهل</t>
  </si>
  <si>
    <t>بكالوريوس تجارة</t>
  </si>
  <si>
    <t>دبلوم صناعة</t>
  </si>
  <si>
    <t>دبلوم فني</t>
  </si>
  <si>
    <t>ثانوية عامة</t>
  </si>
  <si>
    <t>دبلوم زراعة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</si>
</sst>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00000"/>
    <numFmt numFmtId="165" formatCode="dd\-mm\-yy"/>
    <numFmt numFmtId="166" formatCode="000"/>
    <numFmt numFmtId="167" formatCode="\(000\)\ 0000\-0000"/>
    <numFmt numFmtId="168" formatCode="_(* #,##0_);_(* \(#,##0\);_(* &quot;-&quot;??_);_(@_)"/>
    <numFmt numFmtId="169" formatCode="00000000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165" fontId="0" fillId="0" borderId="0" xfId="0" applyNumberForma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68" fontId="0" fillId="0" borderId="0" xfId="1" applyNumberFormat="1" applyFont="1" applyBorder="1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8" fontId="0" fillId="0" borderId="0" xfId="1" applyNumberFormat="1" applyFont="1" applyBorder="1" applyAlignment="1" applyProtection="1">
      <alignment horizontal="center"/>
      <protection locked="0"/>
    </xf>
    <xf numFmtId="168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69"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numFmt numFmtId="168" formatCode="_(* #,##0_);_(* \(#,##0\);_(* &quot;-&quot;??_);_(@_)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1" hidden="1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vertical="bottom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numFmt numFmtId="168" formatCode="_(* #,##0_);_(* \(#,##0\);_(* &quot;-&quot;??_);_(@_)"/>
      <alignment horizontal="center" textRotation="0" wrapText="0" indent="0" justifyLastLine="0" shrinkToFit="0" readingOrder="0"/>
      <protection locked="0"/>
    </dxf>
    <dxf>
      <numFmt numFmtId="168" formatCode="_(* #,##0_);_(* \(#,##0\);_(* &quot;-&quot;??_);_(@_)"/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numFmt numFmtId="167" formatCode="\(000\)\ 0000\-0000"/>
      <alignment horizontal="center" textRotation="0" wrapText="0" indent="0" justifyLastLine="0" shrinkToFit="0" readingOrder="0"/>
      <protection locked="0"/>
    </dxf>
    <dxf>
      <numFmt numFmtId="167" formatCode="\(000\)\ 0000\-0000"/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numFmt numFmtId="0" formatCode="General"/>
      <alignment horizontal="center" textRotation="0" wrapText="0" indent="0" justifyLastLine="0" shrinkToFit="0" readingOrder="0"/>
      <protection locked="1" hidden="1"/>
    </dxf>
    <dxf>
      <alignment horizontal="center"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0"/>
    </dxf>
    <dxf>
      <alignment horizontal="center" textRotation="0" wrapText="0" indent="0" justifyLastLine="0" shrinkToFit="0" readingOrder="0"/>
      <protection locked="1" hidden="1"/>
    </dxf>
    <dxf>
      <alignment textRotation="0" wrapText="0" indent="0" justifyLastLine="0" shrinkToFit="0" readingOrder="0"/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protection locked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FC9D6-FEF4-4778-A11B-0E62D90A84C3}" name="Table1" displayName="Table1" ref="A1:AY201" totalsRowShown="0" headerRowDxfId="68" dataDxfId="67">
  <autoFilter ref="A1:AY201" xr:uid="{88DFC9D6-FEF4-4778-A11B-0E62D90A84C3}"/>
  <tableColumns count="51">
    <tableColumn id="1" xr3:uid="{EA0C819A-2931-43C7-ACD2-848C4BACF608}" name="No." dataDxfId="66">
      <calculatedColumnFormula>ROW()-1</calculatedColumnFormula>
    </tableColumn>
    <tableColumn id="2" xr3:uid="{1B5F73A6-D4D7-4581-9586-F7AE4C2E3816}" name="Code" dataDxfId="65"/>
    <tableColumn id="3" xr3:uid="{4EACB0DD-0F21-436D-AD2B-4215EB3212BD}" name="Status" dataDxfId="64"/>
    <tableColumn id="4" xr3:uid="{BAFAEA90-8B71-4D84-BFC4-971F2C2776D3}" name="Employee Name in English" dataDxfId="63"/>
    <tableColumn id="5" xr3:uid="{1D595523-2F28-4A70-9544-9D5A8D18769D}" name="Employee Name in Arabic" dataDxfId="62"/>
    <tableColumn id="6" xr3:uid="{C0359628-8E2C-4276-B996-6FE3E0137BF6}" name="Job title in Arabic" dataDxfId="61"/>
    <tableColumn id="7" xr3:uid="{E53585B3-E0F3-4D77-A7CE-89C984579576}" name="Job title in English" dataDxfId="60"/>
    <tableColumn id="8" xr3:uid="{9EA77542-D9E4-4797-9A60-B0EBDCA09086}" name="SI Job Code" dataDxfId="59"/>
    <tableColumn id="9" xr3:uid="{E74278D9-0A14-4E81-A1D4-FCCF4B07EB1B}" name="Social Insurance Title" dataDxfId="58"/>
    <tableColumn id="10" xr3:uid="{40105912-5D62-44C8-9F98-5D32E60203EC}" name="Department" dataDxfId="57"/>
    <tableColumn id="52" xr3:uid="{3CE0A8A4-AF0C-41B9-B06F-BD3EFEB682E3}" name="Sector" dataDxfId="56">
      <calculatedColumnFormula>IFERROR(VLOOKUP(J2,Lists!$I$1:$J$21,2,FALSE),"")</calculatedColumnFormula>
    </tableColumn>
    <tableColumn id="11" xr3:uid="{8D8F40A5-5E21-42C7-935D-4B951BB2D5A3}" name="Site" dataDxfId="55"/>
    <tableColumn id="12" xr3:uid="{15ECA10A-2983-4FB2-A59F-B154F3AD2440}" name="Weekly Days off" dataDxfId="54"/>
    <tableColumn id="13" xr3:uid="{EE918E5D-2D27-4DB7-ACA9-C518E9FC8B93}" name="Meal_x000a_Allowance" dataDxfId="53"/>
    <tableColumn id="14" xr3:uid="{07A0689B-811D-48CA-BD74-9A83889D5679}" name="Overtime" dataDxfId="52"/>
    <tableColumn id="15" xr3:uid="{4A345CCA-49CA-4C6C-8802-4866F0752278}" name="Bus Route" dataDxfId="51"/>
    <tableColumn id="16" xr3:uid="{C2D0A2CF-7E32-4706-AFAE-B1DCFB45BF70}" name="Hiring Date" dataDxfId="50"/>
    <tableColumn id="17" xr3:uid="{E58D8183-C323-415B-B56F-720C0B6E64A0}" name="Work Period" dataDxfId="49"/>
    <tableColumn id="18" xr3:uid="{A72B8EC7-F16F-4631-A8CC-870887172F6C}" name="Mobile No." dataDxfId="48"/>
    <tableColumn id="19" xr3:uid="{72E1CA4C-D7F1-48ED-8C29-FE5B75C32572}" name="Sec. Mobile No." dataDxfId="47"/>
    <tableColumn id="20" xr3:uid="{3EB675AC-2534-46CA-8C9D-1C44CF3D3AB9}" name="SI No." dataDxfId="46"/>
    <tableColumn id="21" xr3:uid="{274482AC-63E6-44E8-AE97-1DEE84A77EF9}" name="SI Status" dataDxfId="45"/>
    <tableColumn id="22" xr3:uid="{121B2EB1-927C-4BCB-B70D-475C8FDFA70E}" name="SI Basic Wage" dataDxfId="44" dataCellStyle="Comma"/>
    <tableColumn id="23" xr3:uid="{70A6C8A9-F083-4512-B4F3-80C6261D046B}" name="SI Gross Wage" dataDxfId="43" dataCellStyle="Comma"/>
    <tableColumn id="24" xr3:uid="{2D98471A-3D84-4E62-BF4E-8A2E8BA2A1A1}" name="Med. Insurance" dataDxfId="42"/>
    <tableColumn id="25" xr3:uid="{E62144C7-45C1-41F5-A1C3-02AA8D4AFA43}" name="ID No." dataDxfId="41"/>
    <tableColumn id="26" xr3:uid="{EBB94D2E-1873-412C-834B-FF763DD8C8DC}" name="Date_x000a_Of Birth" dataDxfId="40"/>
    <tableColumn id="27" xr3:uid="{F4F7BBCD-ECE6-4DBF-9387-5F94DB0965E3}" name="Age" dataDxfId="39"/>
    <tableColumn id="28" xr3:uid="{E0298D51-684B-461D-9B7E-CC210C5B31B1}" name="ID_x000a_Issuing Date" dataDxfId="38"/>
    <tableColumn id="29" xr3:uid="{993DD1B3-B738-4DFC-9A34-6160FC6A02FB}" name="ID_x000a_Exp. Date" dataDxfId="37"/>
    <tableColumn id="30" xr3:uid="{F8BB2E82-1DF6-4788-91F8-B4CDA25F0A7E}" name="Gender" dataDxfId="36"/>
    <tableColumn id="32" xr3:uid="{889C4B3F-E77B-4706-88E7-FA666DB2D622}" name="Military_x000a_Service" dataDxfId="35"/>
    <tableColumn id="31" xr3:uid="{48AB74DB-ACC4-4776-86AC-BC0BBC31F8A0}" name="Marital_x000a_Status" dataDxfId="34"/>
    <tableColumn id="33" xr3:uid="{17C57FBB-6725-4E70-A586-60841E36A9D9}" name="Religion" dataDxfId="33"/>
    <tableColumn id="34" xr3:uid="{B98B127E-08BE-4FAE-BE1F-AD4AF5F670C3}" name="Qualification Degree" dataDxfId="32"/>
    <tableColumn id="35" xr3:uid="{25931006-8989-4C2B-94A9-315B6904BFF5}" name="Original_x000a_Graduation Certificate" dataDxfId="31"/>
    <tableColumn id="36" xr3:uid="{349C29FC-4A49-4E48-9CFF-61817F32F1A4}" name="Original_x000a_Military Certificate" dataDxfId="30"/>
    <tableColumn id="37" xr3:uid="{EEA2BEFB-D5E6-482C-A730-209389DC6C10}" name="Original_x000a_Birth Certificate" dataDxfId="29"/>
    <tableColumn id="38" xr3:uid="{C06F2A36-A431-473D-AC4D-523F35BB8FFE}" name="Finger_x000a_Print Record" dataDxfId="28"/>
    <tableColumn id="39" xr3:uid="{BBB2CD60-6571-4397-9F43-A0ED56F76393}" name="ID Copy" dataDxfId="27"/>
    <tableColumn id="40" xr3:uid="{8BF45A88-F6FB-4C67-974B-73309E1FD5FB}" name="6 Personal Photos" dataDxfId="26"/>
    <tableColumn id="41" xr3:uid="{7E16EDD4-7548-4FA0-97EE-12FDC4D997F9}" name="Medical Form_x000a_No. 111" dataDxfId="25"/>
    <tableColumn id="42" xr3:uid="{9F42D012-27C3-4C65-A0B7-60A12CD54A44}" name="SI Record" dataDxfId="24"/>
    <tableColumn id="43" xr3:uid="{77EA8887-531D-4958-8DAE-AC42465F59D3}" name="Copy_x000a_SI Form 1" dataDxfId="23"/>
    <tableColumn id="44" xr3:uid="{2D934619-E9A9-41BC-A431-CD57B33DEE96}" name="Copy_x000a_SI Form 6" dataDxfId="22"/>
    <tableColumn id="46" xr3:uid="{AA817D95-17D7-4E91-A442-59F79D74BCF5}" name="Contract" dataDxfId="21"/>
    <tableColumn id="47" xr3:uid="{D29DCF7E-5388-4BB3-9422-7B8E9F80642B}" name="File Status" dataDxfId="20"/>
    <tableColumn id="48" xr3:uid="{A00E5A09-1FB0-4518-B56A-5EB1F68B14C7}" name="Comments" dataDxfId="19"/>
    <tableColumn id="49" xr3:uid="{C529E776-D207-494E-9606-45B4FC9F6A66}" name="Notice_x000a_Date" dataDxfId="18"/>
    <tableColumn id="50" xr3:uid="{489348AC-0CEA-4E67-A1E1-3D9DCFC0AB49}" name="Resignation_x000a_Date" dataDxfId="17"/>
    <tableColumn id="51" xr3:uid="{AC29D0FF-ED36-42B8-A7F4-2DE82F7F11FA}" name="Resignation Reason" dataDxfId="1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0D22C-4A20-4FF8-9819-6D2B1AC5F885}" name="Table4" displayName="Table4" ref="A1:G7" totalsRowShown="0" headerRowDxfId="15" dataDxfId="14">
  <autoFilter ref="A1:G7" xr:uid="{66C0D22C-4A20-4FF8-9819-6D2B1AC5F885}"/>
  <tableColumns count="7">
    <tableColumn id="1" xr3:uid="{CF1AD1CB-AB71-44F6-A2F1-6024A1FB062E}" name="WorkingStatus" dataDxfId="13"/>
    <tableColumn id="2" xr3:uid="{4788E01E-23D9-4DAA-9E73-C3042503A2B1}" name="Site" dataDxfId="12"/>
    <tableColumn id="3" xr3:uid="{6058750C-B71F-4D5D-BDA2-99768D83D32E}" name="WeeklyDaysOff" dataDxfId="11"/>
    <tableColumn id="4" xr3:uid="{E7F3765C-53B9-450B-B6F7-93DCB89C5A04}" name="BusRoute" dataDxfId="10"/>
    <tableColumn id="6" xr3:uid="{001539A3-71F0-46DB-8FD3-A00B0A17136C}" name="MilitaryService" dataDxfId="9"/>
    <tableColumn id="8" xr3:uid="{7269B0B9-2140-4871-8BEE-E1191686E89E}" name="SI Basic Wage" dataDxfId="8"/>
    <tableColumn id="9" xr3:uid="{0C412DD9-D05B-477D-8EE4-DA3C04CA2A9D}" name="SI Gross Wage" dataDxfId="7">
      <calculatedColumnFormula>Table4[[#This Row],[SI Basic Wage]]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3421E-9B98-4D7B-A1F5-4909AF7CC70C}" name="Table2" displayName="Table2" ref="I1:J21" totalsRowShown="0" headerRowDxfId="6" dataDxfId="5">
  <autoFilter ref="I1:J21" xr:uid="{6AD3421E-9B98-4D7B-A1F5-4909AF7CC70C}"/>
  <tableColumns count="2">
    <tableColumn id="1" xr3:uid="{191D10BE-84A9-4F04-AA04-A2765CBCBC7D}" name="Department" dataDxfId="4"/>
    <tableColumn id="2" xr3:uid="{E3BA021B-8A54-4582-AC80-3BC14D4ACF0C}" name="Sector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A5A1B-137A-4C83-B608-34848E848DA1}" name="Table3" displayName="Table3" ref="A1:B3053" totalsRowShown="0" headerRowDxfId="2">
  <autoFilter ref="A1:B3053" xr:uid="{3F2A5A1B-137A-4C83-B608-34848E848DA1}"/>
  <tableColumns count="2">
    <tableColumn id="1" xr3:uid="{91902204-D521-44E0-8ADE-78E5C109C64F}" name="Job Code" dataDxfId="1"/>
    <tableColumn id="2" xr3:uid="{51F48DD0-3720-4A64-9932-5210453012D4}" name="Tit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201"/>
  <sheetViews>
    <sheetView showGridLines="0" tabSelected="1" workbookViewId="0">
      <pane xSplit="4" ySplit="1" topLeftCell="Z2" activePane="bottomRight" state="frozen"/>
      <selection pane="topRight" activeCell="E1" sqref="E1"/>
      <selection pane="bottomLeft" activeCell="A2" sqref="A2"/>
      <selection pane="bottomRight" activeCell="AF3" sqref="AF3"/>
    </sheetView>
  </sheetViews>
  <sheetFormatPr defaultRowHeight="14.5" x14ac:dyDescent="0.35"/>
  <cols>
    <col min="1" max="1" width="8.26953125" style="22" bestFit="1" customWidth="1"/>
    <col min="2" max="2" width="9.6328125" style="22" bestFit="1" customWidth="1"/>
    <col min="3" max="3" width="10.6328125" style="22" bestFit="1" customWidth="1"/>
    <col min="4" max="4" width="26" style="13" customWidth="1"/>
    <col min="5" max="5" width="25" style="13" customWidth="1"/>
    <col min="6" max="6" width="21" style="13" customWidth="1"/>
    <col min="7" max="7" width="22" style="13" customWidth="1"/>
    <col min="8" max="8" width="14.81640625" style="13" bestFit="1" customWidth="1"/>
    <col min="9" max="9" width="28.453125" style="13" customWidth="1"/>
    <col min="10" max="10" width="16.54296875" style="13" bestFit="1" customWidth="1"/>
    <col min="11" max="11" width="12.7265625" style="13" bestFit="1" customWidth="1"/>
    <col min="12" max="12" width="12" style="13" customWidth="1"/>
    <col min="13" max="13" width="19.1796875" style="13" bestFit="1" customWidth="1"/>
    <col min="14" max="14" width="13.90625" style="13" bestFit="1" customWidth="1"/>
    <col min="15" max="16" width="12" style="13" customWidth="1"/>
    <col min="17" max="17" width="14.7265625" style="13" bestFit="1" customWidth="1"/>
    <col min="18" max="18" width="13.36328125" style="13" customWidth="1"/>
    <col min="19" max="19" width="14.54296875" style="13" bestFit="1" customWidth="1"/>
    <col min="20" max="20" width="18.36328125" style="13" bestFit="1" customWidth="1"/>
    <col min="21" max="22" width="12" style="13" customWidth="1"/>
    <col min="23" max="23" width="16.6328125" style="13" bestFit="1" customWidth="1"/>
    <col min="24" max="24" width="17.1796875" style="13" bestFit="1" customWidth="1"/>
    <col min="25" max="25" width="18.453125" style="13" bestFit="1" customWidth="1"/>
    <col min="26" max="26" width="14.90625" style="13" bestFit="1" customWidth="1"/>
    <col min="27" max="27" width="11.90625" style="13" bestFit="1" customWidth="1"/>
    <col min="28" max="28" width="8.453125" style="13" bestFit="1" customWidth="1"/>
    <col min="29" max="29" width="15.54296875" style="13" bestFit="1" customWidth="1"/>
    <col min="30" max="30" width="13.36328125" style="13" bestFit="1" customWidth="1"/>
    <col min="31" max="31" width="12" style="13" customWidth="1"/>
    <col min="32" max="32" width="11.81640625" style="13" bestFit="1" customWidth="1"/>
    <col min="33" max="33" width="11.453125" style="13" bestFit="1" customWidth="1"/>
    <col min="34" max="34" width="11.90625" style="13" bestFit="1" customWidth="1"/>
    <col min="35" max="35" width="21.81640625" style="13" customWidth="1"/>
    <col min="36" max="36" width="22" style="13" customWidth="1"/>
    <col min="37" max="37" width="24.1796875" style="13" bestFit="1" customWidth="1"/>
    <col min="38" max="38" width="21" style="13" bestFit="1" customWidth="1"/>
    <col min="39" max="39" width="18.6328125" style="13" bestFit="1" customWidth="1"/>
    <col min="40" max="40" width="11.81640625" style="13" bestFit="1" customWidth="1"/>
    <col min="41" max="41" width="12" style="13" customWidth="1"/>
    <col min="42" max="42" width="19" style="13" customWidth="1"/>
    <col min="43" max="45" width="13.08984375" style="13" bestFit="1" customWidth="1"/>
    <col min="46" max="46" width="12.6328125" style="13" bestFit="1" customWidth="1"/>
    <col min="47" max="47" width="17.7265625" style="13" bestFit="1" customWidth="1"/>
    <col min="48" max="48" width="14.453125" style="13" bestFit="1" customWidth="1"/>
    <col min="49" max="49" width="13" style="13" customWidth="1"/>
    <col min="50" max="50" width="15.08984375" style="13" bestFit="1" customWidth="1"/>
    <col min="51" max="51" width="24.81640625" style="13" customWidth="1"/>
    <col min="52" max="52" width="15.08984375" style="13" bestFit="1" customWidth="1"/>
    <col min="53" max="53" width="27.26953125" style="13" customWidth="1"/>
    <col min="54" max="16384" width="8.7265625" style="13"/>
  </cols>
  <sheetData>
    <row r="1" spans="1:51" ht="32" customHeight="1" x14ac:dyDescent="0.35">
      <c r="A1" s="11" t="s">
        <v>83</v>
      </c>
      <c r="B1" s="11" t="s">
        <v>0</v>
      </c>
      <c r="C1" s="12" t="s">
        <v>3201</v>
      </c>
      <c r="D1" s="11" t="s">
        <v>1</v>
      </c>
      <c r="E1" s="11" t="s">
        <v>2</v>
      </c>
      <c r="F1" s="11" t="s">
        <v>3</v>
      </c>
      <c r="G1" s="11" t="s">
        <v>4</v>
      </c>
      <c r="H1" s="12" t="s">
        <v>3202</v>
      </c>
      <c r="I1" s="11" t="s">
        <v>5</v>
      </c>
      <c r="J1" s="11" t="s">
        <v>6</v>
      </c>
      <c r="K1" s="12" t="s">
        <v>58</v>
      </c>
      <c r="L1" s="11" t="s">
        <v>7</v>
      </c>
      <c r="M1" s="12" t="s">
        <v>3183</v>
      </c>
      <c r="N1" s="12" t="s">
        <v>3195</v>
      </c>
      <c r="O1" s="11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2" t="s">
        <v>3184</v>
      </c>
      <c r="Z1" s="11" t="s">
        <v>18</v>
      </c>
      <c r="AA1" s="12" t="s">
        <v>3196</v>
      </c>
      <c r="AB1" s="11" t="s">
        <v>19</v>
      </c>
      <c r="AC1" s="12" t="s">
        <v>3197</v>
      </c>
      <c r="AD1" s="12" t="s">
        <v>3198</v>
      </c>
      <c r="AE1" s="11" t="s">
        <v>20</v>
      </c>
      <c r="AF1" s="12" t="s">
        <v>3200</v>
      </c>
      <c r="AG1" s="12" t="s">
        <v>3199</v>
      </c>
      <c r="AH1" s="11" t="s">
        <v>21</v>
      </c>
      <c r="AI1" s="11" t="s">
        <v>22</v>
      </c>
      <c r="AJ1" s="12" t="s">
        <v>3185</v>
      </c>
      <c r="AK1" s="12" t="s">
        <v>3186</v>
      </c>
      <c r="AL1" s="12" t="s">
        <v>3187</v>
      </c>
      <c r="AM1" s="12" t="s">
        <v>3188</v>
      </c>
      <c r="AN1" s="11" t="s">
        <v>23</v>
      </c>
      <c r="AO1" s="11" t="s">
        <v>24</v>
      </c>
      <c r="AP1" s="12" t="s">
        <v>3189</v>
      </c>
      <c r="AQ1" s="12" t="s">
        <v>3190</v>
      </c>
      <c r="AR1" s="12" t="s">
        <v>3191</v>
      </c>
      <c r="AS1" s="12" t="s">
        <v>3192</v>
      </c>
      <c r="AT1" s="11" t="s">
        <v>25</v>
      </c>
      <c r="AU1" s="11" t="s">
        <v>26</v>
      </c>
      <c r="AV1" s="11" t="s">
        <v>27</v>
      </c>
      <c r="AW1" s="12" t="s">
        <v>3194</v>
      </c>
      <c r="AX1" s="12" t="s">
        <v>3193</v>
      </c>
      <c r="AY1" s="11" t="s">
        <v>28</v>
      </c>
    </row>
    <row r="2" spans="1:51" x14ac:dyDescent="0.35">
      <c r="A2" s="9">
        <f>ROW()-1</f>
        <v>1</v>
      </c>
      <c r="B2" s="14">
        <v>240001</v>
      </c>
      <c r="C2" s="15" t="s">
        <v>32</v>
      </c>
      <c r="D2" s="16" t="s">
        <v>84</v>
      </c>
      <c r="E2" s="16" t="s">
        <v>85</v>
      </c>
      <c r="F2" s="16" t="s">
        <v>86</v>
      </c>
      <c r="G2" s="16" t="s">
        <v>59</v>
      </c>
      <c r="H2" s="16"/>
      <c r="I2" s="8" t="str">
        <f>IFERROR(VLOOKUP(H2,'SI Codes'!$A:$B,2,FALSE),"")</f>
        <v/>
      </c>
      <c r="J2" s="15" t="s">
        <v>59</v>
      </c>
      <c r="K2" s="10" t="str">
        <f>IFERROR(VLOOKUP(J2,Lists!$I$1:$J$21,2,FALSE),"")</f>
        <v>GM</v>
      </c>
      <c r="L2" s="15" t="s">
        <v>39</v>
      </c>
      <c r="M2" s="15" t="s">
        <v>43</v>
      </c>
      <c r="N2" s="15" t="s">
        <v>30</v>
      </c>
      <c r="O2" s="15" t="s">
        <v>30</v>
      </c>
      <c r="P2" s="15"/>
      <c r="Q2" s="17">
        <v>45505</v>
      </c>
      <c r="R2" s="7" t="str">
        <f t="shared" ref="R2:R33" ca="1" si="0">IF(Q2="","",IF(C2="Resigned",IF(AX2="","",DATEDIF(Q2,AX2,"y")&amp;"y "&amp;DATEDIF(Q2,AX2,"ym")&amp;"m"),DATEDIF(Q2,TODAY(),"y")&amp;"y "&amp;DATEDIF(Q2,TODAY(),"ym")&amp;"m"))</f>
        <v>1y 5m</v>
      </c>
      <c r="S2" s="18">
        <v>1271301076</v>
      </c>
      <c r="T2" s="18">
        <v>1206037776</v>
      </c>
      <c r="U2" s="19">
        <v>13707503</v>
      </c>
      <c r="V2" s="15" t="s">
        <v>29</v>
      </c>
      <c r="W2" s="20"/>
      <c r="X2" s="20"/>
      <c r="Y2" s="15"/>
      <c r="Z2" s="21">
        <v>28803080200111</v>
      </c>
      <c r="AA2" s="6">
        <f t="shared" ref="AA2:AA33" si="1">IFERROR(DATE(IF(LEFT(Z2,1)="2",1900,2000)+VALUE(MID(Z2,2,2)),VALUE(MID(Z2,4,2)),VALUE(MID(Z2,6,2))),"")</f>
        <v>32210</v>
      </c>
      <c r="AB2" s="7" t="str">
        <f t="shared" ref="AB2:AB33" ca="1" si="2">IF(AA2="","",DATEDIF(AA2,TODAY(),"y")&amp;"y "&amp;DATEDIF(AA2,TODAY(),"ym")&amp;"m")</f>
        <v>37y 9m</v>
      </c>
      <c r="AC2" s="17"/>
      <c r="AD2" s="17"/>
      <c r="AE2" s="15" t="s">
        <v>48</v>
      </c>
      <c r="AF2" s="15" t="s">
        <v>55</v>
      </c>
      <c r="AG2" s="15" t="s">
        <v>51</v>
      </c>
      <c r="AH2" s="15" t="s">
        <v>56</v>
      </c>
      <c r="AI2" s="15" t="s">
        <v>3206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7" t="str">
        <f t="shared" ref="AU2:AU33" si="3">IF(COUNTIF(AJ2:AT2,"Yes")=COLUMNS(AJ2:AT2),"Yes","No")</f>
        <v>No</v>
      </c>
      <c r="AV2" s="15"/>
      <c r="AW2" s="17"/>
      <c r="AX2" s="17"/>
      <c r="AY2" s="15"/>
    </row>
    <row r="3" spans="1:51" x14ac:dyDescent="0.35">
      <c r="A3" s="9">
        <f t="shared" ref="A3:A66" si="4">ROW()-1</f>
        <v>2</v>
      </c>
      <c r="B3" s="14">
        <v>240003</v>
      </c>
      <c r="C3" s="15" t="s">
        <v>32</v>
      </c>
      <c r="D3" s="16" t="s">
        <v>87</v>
      </c>
      <c r="E3" s="16" t="s">
        <v>88</v>
      </c>
      <c r="F3" s="16" t="s">
        <v>89</v>
      </c>
      <c r="G3" s="16" t="s">
        <v>129</v>
      </c>
      <c r="H3" s="16"/>
      <c r="I3" s="8" t="str">
        <f>IFERROR(VLOOKUP(H3,'SI Codes'!$A:$B,2,FALSE),"")</f>
        <v/>
      </c>
      <c r="J3" s="15" t="s">
        <v>66</v>
      </c>
      <c r="K3" s="10" t="str">
        <f>IFERROR(VLOOKUP(J3,Lists!$I$1:$J$21,2,FALSE),"")</f>
        <v>R&amp;D</v>
      </c>
      <c r="L3" s="15" t="s">
        <v>39</v>
      </c>
      <c r="M3" s="15" t="s">
        <v>43</v>
      </c>
      <c r="N3" s="15" t="s">
        <v>30</v>
      </c>
      <c r="O3" s="15" t="s">
        <v>30</v>
      </c>
      <c r="P3" s="15"/>
      <c r="Q3" s="17">
        <v>45505</v>
      </c>
      <c r="R3" s="7" t="str">
        <f t="shared" ca="1" si="0"/>
        <v>1y 5m</v>
      </c>
      <c r="S3" s="18">
        <v>1061684411</v>
      </c>
      <c r="T3" s="18">
        <v>1272832690</v>
      </c>
      <c r="U3" s="19">
        <v>78220556</v>
      </c>
      <c r="V3" s="15" t="s">
        <v>29</v>
      </c>
      <c r="W3" s="20"/>
      <c r="X3" s="20"/>
      <c r="Y3" s="15"/>
      <c r="Z3" s="21">
        <v>29306061300156</v>
      </c>
      <c r="AA3" s="6">
        <f t="shared" si="1"/>
        <v>34126</v>
      </c>
      <c r="AB3" s="7" t="str">
        <f t="shared" ca="1" si="2"/>
        <v>32y 6m</v>
      </c>
      <c r="AC3" s="17"/>
      <c r="AD3" s="17"/>
      <c r="AE3" s="15" t="s">
        <v>48</v>
      </c>
      <c r="AF3" s="15" t="s">
        <v>55</v>
      </c>
      <c r="AG3" s="15" t="s">
        <v>50</v>
      </c>
      <c r="AH3" s="15" t="s">
        <v>56</v>
      </c>
      <c r="AI3" s="15" t="s">
        <v>3206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7" t="str">
        <f t="shared" si="3"/>
        <v>No</v>
      </c>
      <c r="AV3" s="15"/>
      <c r="AW3" s="17"/>
      <c r="AX3" s="17"/>
      <c r="AY3" s="15"/>
    </row>
    <row r="4" spans="1:51" x14ac:dyDescent="0.35">
      <c r="A4" s="9">
        <f t="shared" si="4"/>
        <v>3</v>
      </c>
      <c r="B4" s="14">
        <v>240004</v>
      </c>
      <c r="C4" s="15" t="s">
        <v>32</v>
      </c>
      <c r="D4" s="16" t="s">
        <v>90</v>
      </c>
      <c r="E4" s="16" t="s">
        <v>91</v>
      </c>
      <c r="F4" s="16" t="s">
        <v>92</v>
      </c>
      <c r="G4" s="16" t="s">
        <v>130</v>
      </c>
      <c r="H4" s="16"/>
      <c r="I4" s="8" t="str">
        <f>IFERROR(VLOOKUP(H4,'SI Codes'!$A:$B,2,FALSE),"")</f>
        <v/>
      </c>
      <c r="J4" s="15" t="s">
        <v>3204</v>
      </c>
      <c r="K4" s="10" t="str">
        <f>IFERROR(VLOOKUP(J4,Lists!$I$1:$J$21,2,FALSE),"")</f>
        <v>HR and Admin</v>
      </c>
      <c r="L4" s="15" t="s">
        <v>39</v>
      </c>
      <c r="M4" s="15" t="s">
        <v>43</v>
      </c>
      <c r="N4" s="15" t="s">
        <v>30</v>
      </c>
      <c r="O4" s="15" t="s">
        <v>30</v>
      </c>
      <c r="P4" s="15"/>
      <c r="Q4" s="17">
        <v>45505</v>
      </c>
      <c r="R4" s="7" t="str">
        <f t="shared" ca="1" si="0"/>
        <v>1y 5m</v>
      </c>
      <c r="S4" s="18">
        <v>1226067738</v>
      </c>
      <c r="T4" s="18">
        <v>1129525516</v>
      </c>
      <c r="U4" s="19">
        <v>67950739</v>
      </c>
      <c r="V4" s="15" t="s">
        <v>29</v>
      </c>
      <c r="W4" s="20"/>
      <c r="X4" s="20"/>
      <c r="Y4" s="15"/>
      <c r="Z4" s="21">
        <v>29803010110755</v>
      </c>
      <c r="AA4" s="6">
        <f t="shared" si="1"/>
        <v>35855</v>
      </c>
      <c r="AB4" s="7" t="str">
        <f t="shared" ca="1" si="2"/>
        <v>27y 10m</v>
      </c>
      <c r="AC4" s="17"/>
      <c r="AD4" s="17"/>
      <c r="AE4" s="15" t="s">
        <v>48</v>
      </c>
      <c r="AF4" s="15"/>
      <c r="AG4" s="15" t="s">
        <v>51</v>
      </c>
      <c r="AH4" s="15" t="s">
        <v>56</v>
      </c>
      <c r="AI4" s="15" t="s">
        <v>3207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7" t="str">
        <f t="shared" si="3"/>
        <v>No</v>
      </c>
      <c r="AV4" s="15"/>
      <c r="AW4" s="17"/>
      <c r="AX4" s="17"/>
      <c r="AY4" s="15"/>
    </row>
    <row r="5" spans="1:51" x14ac:dyDescent="0.35">
      <c r="A5" s="9">
        <f t="shared" si="4"/>
        <v>4</v>
      </c>
      <c r="B5" s="14">
        <v>240005</v>
      </c>
      <c r="C5" s="15" t="s">
        <v>32</v>
      </c>
      <c r="D5" s="16" t="s">
        <v>93</v>
      </c>
      <c r="E5" s="16" t="s">
        <v>94</v>
      </c>
      <c r="F5" s="16" t="s">
        <v>95</v>
      </c>
      <c r="G5" s="16" t="s">
        <v>131</v>
      </c>
      <c r="H5" s="16"/>
      <c r="I5" s="8" t="str">
        <f>IFERROR(VLOOKUP(H5,'SI Codes'!$A:$B,2,FALSE),"")</f>
        <v/>
      </c>
      <c r="J5" s="15" t="s">
        <v>72</v>
      </c>
      <c r="K5" s="10" t="str">
        <f>IFERROR(VLOOKUP(J5,Lists!$I$1:$J$21,2,FALSE),"")</f>
        <v>Supply Chain</v>
      </c>
      <c r="L5" s="15" t="s">
        <v>39</v>
      </c>
      <c r="M5" s="15" t="s">
        <v>43</v>
      </c>
      <c r="N5" s="15" t="s">
        <v>30</v>
      </c>
      <c r="O5" s="15" t="s">
        <v>30</v>
      </c>
      <c r="P5" s="15"/>
      <c r="Q5" s="17">
        <v>45505</v>
      </c>
      <c r="R5" s="7" t="str">
        <f t="shared" ca="1" si="0"/>
        <v>1y 5m</v>
      </c>
      <c r="S5" s="18">
        <v>1272845302</v>
      </c>
      <c r="T5" s="18">
        <v>1011251189</v>
      </c>
      <c r="U5" s="19"/>
      <c r="V5" s="15"/>
      <c r="W5" s="20"/>
      <c r="X5" s="20"/>
      <c r="Y5" s="15"/>
      <c r="Z5" s="21"/>
      <c r="AA5" s="6" t="str">
        <f t="shared" si="1"/>
        <v/>
      </c>
      <c r="AB5" s="7" t="str">
        <f t="shared" ca="1" si="2"/>
        <v/>
      </c>
      <c r="AC5" s="17"/>
      <c r="AD5" s="17"/>
      <c r="AE5" s="15" t="s">
        <v>49</v>
      </c>
      <c r="AF5" s="15"/>
      <c r="AG5" s="15" t="s">
        <v>51</v>
      </c>
      <c r="AH5" s="15" t="s">
        <v>56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7" t="str">
        <f t="shared" si="3"/>
        <v>No</v>
      </c>
      <c r="AV5" s="15"/>
      <c r="AW5" s="17"/>
      <c r="AX5" s="17"/>
      <c r="AY5" s="15"/>
    </row>
    <row r="6" spans="1:51" x14ac:dyDescent="0.35">
      <c r="A6" s="9">
        <f t="shared" si="4"/>
        <v>5</v>
      </c>
      <c r="B6" s="14">
        <v>240006</v>
      </c>
      <c r="C6" s="15" t="s">
        <v>32</v>
      </c>
      <c r="D6" s="16" t="s">
        <v>96</v>
      </c>
      <c r="E6" s="16" t="s">
        <v>97</v>
      </c>
      <c r="F6" s="16" t="s">
        <v>98</v>
      </c>
      <c r="G6" s="16" t="s">
        <v>132</v>
      </c>
      <c r="H6" s="16"/>
      <c r="I6" s="8" t="str">
        <f>IFERROR(VLOOKUP(H6,'SI Codes'!$A:$B,2,FALSE),"")</f>
        <v/>
      </c>
      <c r="J6" s="15" t="s">
        <v>76</v>
      </c>
      <c r="K6" s="10" t="str">
        <f>IFERROR(VLOOKUP(J6,Lists!$I$1:$J$21,2,FALSE),"")</f>
        <v>HR and Admin</v>
      </c>
      <c r="L6" s="15" t="s">
        <v>39</v>
      </c>
      <c r="M6" s="15" t="s">
        <v>43</v>
      </c>
      <c r="N6" s="15" t="s">
        <v>29</v>
      </c>
      <c r="O6" s="15" t="s">
        <v>29</v>
      </c>
      <c r="P6" s="15"/>
      <c r="Q6" s="17">
        <v>45505</v>
      </c>
      <c r="R6" s="7" t="str">
        <f t="shared" ca="1" si="0"/>
        <v>1y 5m</v>
      </c>
      <c r="S6" s="18">
        <v>1122572244</v>
      </c>
      <c r="T6" s="18"/>
      <c r="U6" s="19">
        <v>85861868</v>
      </c>
      <c r="V6" s="15" t="s">
        <v>29</v>
      </c>
      <c r="W6" s="20"/>
      <c r="X6" s="20"/>
      <c r="Y6" s="15"/>
      <c r="Z6" s="21">
        <v>28509142106364</v>
      </c>
      <c r="AA6" s="6">
        <f t="shared" si="1"/>
        <v>31304</v>
      </c>
      <c r="AB6" s="7" t="str">
        <f t="shared" ca="1" si="2"/>
        <v>40y 3m</v>
      </c>
      <c r="AC6" s="17"/>
      <c r="AD6" s="17"/>
      <c r="AE6" s="15" t="s">
        <v>49</v>
      </c>
      <c r="AF6" s="15"/>
      <c r="AG6" s="15" t="s">
        <v>51</v>
      </c>
      <c r="AH6" s="15" t="s">
        <v>56</v>
      </c>
      <c r="AI6" s="15" t="s">
        <v>3208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7" t="str">
        <f t="shared" si="3"/>
        <v>No</v>
      </c>
      <c r="AV6" s="15"/>
      <c r="AW6" s="17"/>
      <c r="AX6" s="17"/>
      <c r="AY6" s="15"/>
    </row>
    <row r="7" spans="1:51" x14ac:dyDescent="0.35">
      <c r="A7" s="9">
        <f t="shared" si="4"/>
        <v>6</v>
      </c>
      <c r="B7" s="14">
        <v>240009</v>
      </c>
      <c r="C7" s="15" t="s">
        <v>32</v>
      </c>
      <c r="D7" s="16" t="s">
        <v>99</v>
      </c>
      <c r="E7" s="16" t="s">
        <v>100</v>
      </c>
      <c r="F7" s="16" t="s">
        <v>101</v>
      </c>
      <c r="G7" s="16" t="s">
        <v>133</v>
      </c>
      <c r="H7" s="16"/>
      <c r="I7" s="8" t="str">
        <f>IFERROR(VLOOKUP(H7,'SI Codes'!$A:$B,2,FALSE),"")</f>
        <v/>
      </c>
      <c r="J7" s="15" t="s">
        <v>78</v>
      </c>
      <c r="K7" s="10" t="str">
        <f>IFERROR(VLOOKUP(J7,Lists!$I$1:$J$21,2,FALSE),"")</f>
        <v>HR and Admin</v>
      </c>
      <c r="L7" s="15" t="s">
        <v>39</v>
      </c>
      <c r="M7" s="15" t="s">
        <v>42</v>
      </c>
      <c r="N7" s="15" t="s">
        <v>29</v>
      </c>
      <c r="O7" s="15" t="s">
        <v>29</v>
      </c>
      <c r="P7" s="15"/>
      <c r="Q7" s="17">
        <v>45597</v>
      </c>
      <c r="R7" s="7" t="str">
        <f t="shared" ca="1" si="0"/>
        <v>1y 2m</v>
      </c>
      <c r="S7" s="18">
        <v>1272836708</v>
      </c>
      <c r="T7" s="18">
        <v>1144192363</v>
      </c>
      <c r="U7" s="19">
        <v>71551980</v>
      </c>
      <c r="V7" s="15" t="s">
        <v>29</v>
      </c>
      <c r="W7" s="20"/>
      <c r="X7" s="20"/>
      <c r="Y7" s="15"/>
      <c r="Z7" s="21">
        <v>29503032100377</v>
      </c>
      <c r="AA7" s="6">
        <f t="shared" si="1"/>
        <v>34761</v>
      </c>
      <c r="AB7" s="7" t="str">
        <f t="shared" ca="1" si="2"/>
        <v>30y 9m</v>
      </c>
      <c r="AC7" s="17"/>
      <c r="AD7" s="17"/>
      <c r="AE7" s="15" t="s">
        <v>48</v>
      </c>
      <c r="AF7" s="15"/>
      <c r="AG7" s="15" t="s">
        <v>50</v>
      </c>
      <c r="AH7" s="15" t="s">
        <v>56</v>
      </c>
      <c r="AI7" s="15" t="s">
        <v>3209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7" t="str">
        <f t="shared" si="3"/>
        <v>No</v>
      </c>
      <c r="AV7" s="15"/>
      <c r="AW7" s="17"/>
      <c r="AX7" s="17"/>
      <c r="AY7" s="15"/>
    </row>
    <row r="8" spans="1:51" x14ac:dyDescent="0.35">
      <c r="A8" s="9">
        <f t="shared" si="4"/>
        <v>7</v>
      </c>
      <c r="B8" s="14">
        <v>240010</v>
      </c>
      <c r="C8" s="15" t="s">
        <v>32</v>
      </c>
      <c r="D8" s="16" t="s">
        <v>102</v>
      </c>
      <c r="E8" s="16" t="s">
        <v>103</v>
      </c>
      <c r="F8" s="16" t="s">
        <v>104</v>
      </c>
      <c r="G8" s="16" t="s">
        <v>134</v>
      </c>
      <c r="H8" s="16"/>
      <c r="I8" s="8" t="str">
        <f>IFERROR(VLOOKUP(H8,'SI Codes'!$A:$B,2,FALSE),"")</f>
        <v/>
      </c>
      <c r="J8" s="15" t="s">
        <v>77</v>
      </c>
      <c r="K8" s="10" t="str">
        <f>IFERROR(VLOOKUP(J8,Lists!$I$1:$J$21,2,FALSE),"")</f>
        <v>HR and Admin</v>
      </c>
      <c r="L8" s="15" t="s">
        <v>39</v>
      </c>
      <c r="M8" s="15" t="s">
        <v>42</v>
      </c>
      <c r="N8" s="15" t="s">
        <v>29</v>
      </c>
      <c r="O8" s="15" t="s">
        <v>29</v>
      </c>
      <c r="P8" s="15"/>
      <c r="Q8" s="17">
        <v>45627</v>
      </c>
      <c r="R8" s="7" t="str">
        <f t="shared" ca="1" si="0"/>
        <v>1y 1m</v>
      </c>
      <c r="S8" s="18">
        <v>1286744105</v>
      </c>
      <c r="T8" s="18"/>
      <c r="U8" s="19">
        <v>76595162</v>
      </c>
      <c r="V8" s="15" t="s">
        <v>29</v>
      </c>
      <c r="W8" s="20"/>
      <c r="X8" s="20"/>
      <c r="Y8" s="15"/>
      <c r="Z8" s="21">
        <v>28808222502627</v>
      </c>
      <c r="AA8" s="6">
        <f t="shared" si="1"/>
        <v>32377</v>
      </c>
      <c r="AB8" s="7" t="str">
        <f t="shared" ca="1" si="2"/>
        <v>37y 4m</v>
      </c>
      <c r="AC8" s="17"/>
      <c r="AD8" s="17"/>
      <c r="AE8" s="15" t="s">
        <v>49</v>
      </c>
      <c r="AF8" s="15"/>
      <c r="AG8" s="15" t="s">
        <v>51</v>
      </c>
      <c r="AH8" s="15" t="s">
        <v>57</v>
      </c>
      <c r="AI8" s="15" t="s">
        <v>3210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7" t="str">
        <f t="shared" si="3"/>
        <v>No</v>
      </c>
      <c r="AV8" s="15"/>
      <c r="AW8" s="17"/>
      <c r="AX8" s="17"/>
      <c r="AY8" s="15"/>
    </row>
    <row r="9" spans="1:51" x14ac:dyDescent="0.35">
      <c r="A9" s="9">
        <f t="shared" si="4"/>
        <v>8</v>
      </c>
      <c r="B9" s="14">
        <v>240011</v>
      </c>
      <c r="C9" s="15" t="s">
        <v>32</v>
      </c>
      <c r="D9" s="16" t="s">
        <v>105</v>
      </c>
      <c r="E9" s="16" t="s">
        <v>106</v>
      </c>
      <c r="F9" s="16" t="s">
        <v>107</v>
      </c>
      <c r="G9" s="16" t="s">
        <v>135</v>
      </c>
      <c r="H9" s="16"/>
      <c r="I9" s="8" t="str">
        <f>IFERROR(VLOOKUP(H9,'SI Codes'!$A:$B,2,FALSE),"")</f>
        <v/>
      </c>
      <c r="J9" s="15" t="s">
        <v>63</v>
      </c>
      <c r="K9" s="10" t="str">
        <f>IFERROR(VLOOKUP(J9,Lists!$I$1:$J$21,2,FALSE),"")</f>
        <v>Operations</v>
      </c>
      <c r="L9" s="15" t="s">
        <v>39</v>
      </c>
      <c r="M9" s="15" t="s">
        <v>43</v>
      </c>
      <c r="N9" s="15" t="s">
        <v>30</v>
      </c>
      <c r="O9" s="15" t="s">
        <v>30</v>
      </c>
      <c r="P9" s="15"/>
      <c r="Q9" s="17">
        <v>45641</v>
      </c>
      <c r="R9" s="7" t="str">
        <f t="shared" ca="1" si="0"/>
        <v>1y 0m</v>
      </c>
      <c r="S9" s="18">
        <v>1272832504</v>
      </c>
      <c r="T9" s="18">
        <v>1159888743</v>
      </c>
      <c r="U9" s="19">
        <v>55752679</v>
      </c>
      <c r="V9" s="15" t="s">
        <v>29</v>
      </c>
      <c r="W9" s="20"/>
      <c r="X9" s="20"/>
      <c r="Y9" s="15"/>
      <c r="Z9" s="21">
        <v>29011172201246</v>
      </c>
      <c r="AA9" s="6">
        <f t="shared" si="1"/>
        <v>33194</v>
      </c>
      <c r="AB9" s="7" t="str">
        <f t="shared" ca="1" si="2"/>
        <v>35y 1m</v>
      </c>
      <c r="AC9" s="17"/>
      <c r="AD9" s="17"/>
      <c r="AE9" s="15" t="s">
        <v>49</v>
      </c>
      <c r="AF9" s="15"/>
      <c r="AG9" s="15" t="s">
        <v>51</v>
      </c>
      <c r="AH9" s="15" t="s">
        <v>56</v>
      </c>
      <c r="AI9" s="15" t="s">
        <v>3206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7" t="str">
        <f t="shared" si="3"/>
        <v>No</v>
      </c>
      <c r="AV9" s="15"/>
      <c r="AW9" s="17"/>
      <c r="AX9" s="17"/>
      <c r="AY9" s="15"/>
    </row>
    <row r="10" spans="1:51" x14ac:dyDescent="0.35">
      <c r="A10" s="9">
        <f t="shared" si="4"/>
        <v>9</v>
      </c>
      <c r="B10" s="14">
        <v>250012</v>
      </c>
      <c r="C10" s="15" t="s">
        <v>32</v>
      </c>
      <c r="D10" s="16" t="s">
        <v>108</v>
      </c>
      <c r="E10" s="16" t="s">
        <v>109</v>
      </c>
      <c r="F10" s="16" t="s">
        <v>110</v>
      </c>
      <c r="G10" s="16" t="s">
        <v>136</v>
      </c>
      <c r="H10" s="16"/>
      <c r="I10" s="8" t="str">
        <f>IFERROR(VLOOKUP(H10,'SI Codes'!$A:$B,2,FALSE),"")</f>
        <v/>
      </c>
      <c r="J10" s="15" t="s">
        <v>69</v>
      </c>
      <c r="K10" s="10" t="str">
        <f>IFERROR(VLOOKUP(J10,Lists!$I$1:$J$21,2,FALSE),"")</f>
        <v>Finance</v>
      </c>
      <c r="L10" s="15" t="s">
        <v>39</v>
      </c>
      <c r="M10" s="15" t="s">
        <v>43</v>
      </c>
      <c r="N10" s="15" t="s">
        <v>30</v>
      </c>
      <c r="O10" s="15" t="s">
        <v>30</v>
      </c>
      <c r="P10" s="15"/>
      <c r="Q10" s="17">
        <v>45658</v>
      </c>
      <c r="R10" s="7" t="str">
        <f t="shared" ca="1" si="0"/>
        <v>1y 0m</v>
      </c>
      <c r="S10" s="18">
        <v>1272831470</v>
      </c>
      <c r="T10" s="18"/>
      <c r="U10" s="19">
        <v>85960001</v>
      </c>
      <c r="V10" s="15" t="s">
        <v>29</v>
      </c>
      <c r="W10" s="20"/>
      <c r="X10" s="20"/>
      <c r="Y10" s="15"/>
      <c r="Z10" s="21">
        <v>29804142602467</v>
      </c>
      <c r="AA10" s="6">
        <f t="shared" si="1"/>
        <v>35899</v>
      </c>
      <c r="AB10" s="7" t="str">
        <f t="shared" ca="1" si="2"/>
        <v>27y 8m</v>
      </c>
      <c r="AC10" s="17"/>
      <c r="AD10" s="17"/>
      <c r="AE10" s="15" t="s">
        <v>49</v>
      </c>
      <c r="AF10" s="15"/>
      <c r="AG10" s="15" t="s">
        <v>50</v>
      </c>
      <c r="AH10" s="15" t="s">
        <v>56</v>
      </c>
      <c r="AI10" s="15" t="s">
        <v>3211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7" t="str">
        <f t="shared" si="3"/>
        <v>No</v>
      </c>
      <c r="AV10" s="15"/>
      <c r="AW10" s="17"/>
      <c r="AX10" s="17"/>
      <c r="AY10" s="15"/>
    </row>
    <row r="11" spans="1:51" x14ac:dyDescent="0.35">
      <c r="A11" s="9">
        <f t="shared" si="4"/>
        <v>10</v>
      </c>
      <c r="B11" s="14">
        <v>250013</v>
      </c>
      <c r="C11" s="15" t="s">
        <v>32</v>
      </c>
      <c r="D11" s="16" t="s">
        <v>111</v>
      </c>
      <c r="E11" s="16" t="s">
        <v>112</v>
      </c>
      <c r="F11" s="16" t="s">
        <v>113</v>
      </c>
      <c r="G11" s="16" t="s">
        <v>137</v>
      </c>
      <c r="H11" s="16"/>
      <c r="I11" s="8" t="str">
        <f>IFERROR(VLOOKUP(H11,'SI Codes'!$A:$B,2,FALSE),"")</f>
        <v/>
      </c>
      <c r="J11" s="15" t="s">
        <v>64</v>
      </c>
      <c r="K11" s="10" t="str">
        <f>IFERROR(VLOOKUP(J11,Lists!$I$1:$J$21,2,FALSE),"")</f>
        <v>Operations</v>
      </c>
      <c r="L11" s="15" t="s">
        <v>39</v>
      </c>
      <c r="M11" s="15" t="s">
        <v>42</v>
      </c>
      <c r="N11" s="15" t="s">
        <v>29</v>
      </c>
      <c r="O11" s="15" t="s">
        <v>29</v>
      </c>
      <c r="P11" s="15"/>
      <c r="Q11" s="17">
        <v>45689</v>
      </c>
      <c r="R11" s="7" t="str">
        <f t="shared" ca="1" si="0"/>
        <v>0y 11m</v>
      </c>
      <c r="S11" s="18">
        <v>1281370295</v>
      </c>
      <c r="T11" s="18"/>
      <c r="U11" s="19">
        <v>81744149</v>
      </c>
      <c r="V11" s="15" t="s">
        <v>29</v>
      </c>
      <c r="W11" s="20"/>
      <c r="X11" s="20"/>
      <c r="Y11" s="15"/>
      <c r="Z11" s="21">
        <v>29911172200798</v>
      </c>
      <c r="AA11" s="6">
        <f t="shared" si="1"/>
        <v>36481</v>
      </c>
      <c r="AB11" s="7" t="str">
        <f t="shared" ca="1" si="2"/>
        <v>26y 1m</v>
      </c>
      <c r="AC11" s="17"/>
      <c r="AD11" s="17"/>
      <c r="AE11" s="15" t="s">
        <v>48</v>
      </c>
      <c r="AF11" s="15"/>
      <c r="AG11" s="15" t="s">
        <v>51</v>
      </c>
      <c r="AH11" s="15" t="s">
        <v>56</v>
      </c>
      <c r="AI11" s="15" t="s">
        <v>3212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7" t="str">
        <f t="shared" si="3"/>
        <v>No</v>
      </c>
      <c r="AV11" s="15"/>
      <c r="AW11" s="17"/>
      <c r="AX11" s="17"/>
      <c r="AY11" s="15"/>
    </row>
    <row r="12" spans="1:51" x14ac:dyDescent="0.35">
      <c r="A12" s="9">
        <f t="shared" si="4"/>
        <v>11</v>
      </c>
      <c r="B12" s="14">
        <v>250014</v>
      </c>
      <c r="C12" s="15" t="s">
        <v>32</v>
      </c>
      <c r="D12" s="16" t="s">
        <v>114</v>
      </c>
      <c r="E12" s="16" t="s">
        <v>115</v>
      </c>
      <c r="F12" s="16" t="s">
        <v>116</v>
      </c>
      <c r="G12" s="16" t="s">
        <v>138</v>
      </c>
      <c r="H12" s="16"/>
      <c r="I12" s="8" t="str">
        <f>IFERROR(VLOOKUP(H12,'SI Codes'!$A:$B,2,FALSE),"")</f>
        <v/>
      </c>
      <c r="J12" s="15" t="s">
        <v>61</v>
      </c>
      <c r="K12" s="10" t="str">
        <f>IFERROR(VLOOKUP(J12,Lists!$I$1:$J$21,2,FALSE),"")</f>
        <v>Operations</v>
      </c>
      <c r="L12" s="15" t="s">
        <v>39</v>
      </c>
      <c r="M12" s="15" t="s">
        <v>42</v>
      </c>
      <c r="N12" s="15" t="s">
        <v>29</v>
      </c>
      <c r="O12" s="15" t="s">
        <v>29</v>
      </c>
      <c r="P12" s="15"/>
      <c r="Q12" s="17">
        <v>45762</v>
      </c>
      <c r="R12" s="7" t="str">
        <f t="shared" ca="1" si="0"/>
        <v>0y 8m</v>
      </c>
      <c r="S12" s="18">
        <v>1117933811</v>
      </c>
      <c r="T12" s="18"/>
      <c r="U12" s="19">
        <v>86945841</v>
      </c>
      <c r="V12" s="15" t="s">
        <v>29</v>
      </c>
      <c r="W12" s="20"/>
      <c r="X12" s="20"/>
      <c r="Y12" s="15"/>
      <c r="Z12" s="21">
        <v>30607072103471</v>
      </c>
      <c r="AA12" s="6">
        <f t="shared" si="1"/>
        <v>38905</v>
      </c>
      <c r="AB12" s="7" t="str">
        <f t="shared" ca="1" si="2"/>
        <v>19y 5m</v>
      </c>
      <c r="AC12" s="17"/>
      <c r="AD12" s="17"/>
      <c r="AE12" s="15" t="s">
        <v>48</v>
      </c>
      <c r="AF12" s="15"/>
      <c r="AG12" s="15" t="s">
        <v>50</v>
      </c>
      <c r="AH12" s="15" t="s">
        <v>56</v>
      </c>
      <c r="AI12" s="15" t="s">
        <v>3213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" t="str">
        <f t="shared" si="3"/>
        <v>No</v>
      </c>
      <c r="AV12" s="15"/>
      <c r="AW12" s="17"/>
      <c r="AX12" s="17"/>
      <c r="AY12" s="15"/>
    </row>
    <row r="13" spans="1:51" x14ac:dyDescent="0.35">
      <c r="A13" s="9">
        <f t="shared" si="4"/>
        <v>12</v>
      </c>
      <c r="B13" s="14">
        <v>250015</v>
      </c>
      <c r="C13" s="15" t="s">
        <v>32</v>
      </c>
      <c r="D13" s="16" t="s">
        <v>117</v>
      </c>
      <c r="E13" s="16" t="s">
        <v>118</v>
      </c>
      <c r="F13" s="16" t="s">
        <v>128</v>
      </c>
      <c r="G13" s="16" t="s">
        <v>139</v>
      </c>
      <c r="H13" s="16"/>
      <c r="I13" s="8" t="str">
        <f>IFERROR(VLOOKUP(H13,'SI Codes'!$A:$B,2,FALSE),"")</f>
        <v/>
      </c>
      <c r="J13" s="15" t="s">
        <v>65</v>
      </c>
      <c r="K13" s="10" t="str">
        <f>IFERROR(VLOOKUP(J13,Lists!$I$1:$J$21,2,FALSE),"")</f>
        <v>Operations</v>
      </c>
      <c r="L13" s="15" t="s">
        <v>39</v>
      </c>
      <c r="M13" s="15" t="s">
        <v>43</v>
      </c>
      <c r="N13" s="15" t="s">
        <v>30</v>
      </c>
      <c r="O13" s="15" t="s">
        <v>30</v>
      </c>
      <c r="P13" s="15"/>
      <c r="Q13" s="17">
        <v>45775</v>
      </c>
      <c r="R13" s="7" t="str">
        <f t="shared" ca="1" si="0"/>
        <v>0y 8m</v>
      </c>
      <c r="S13" s="18">
        <v>1119470848</v>
      </c>
      <c r="T13" s="18">
        <v>1272841451</v>
      </c>
      <c r="U13" s="19">
        <v>87066305</v>
      </c>
      <c r="V13" s="15" t="s">
        <v>29</v>
      </c>
      <c r="W13" s="20"/>
      <c r="X13" s="20"/>
      <c r="Y13" s="15"/>
      <c r="Z13" s="21">
        <v>30512031302698</v>
      </c>
      <c r="AA13" s="6">
        <f t="shared" si="1"/>
        <v>38689</v>
      </c>
      <c r="AB13" s="7" t="str">
        <f t="shared" ca="1" si="2"/>
        <v>20y 0m</v>
      </c>
      <c r="AC13" s="17"/>
      <c r="AD13" s="17"/>
      <c r="AE13" s="15" t="s">
        <v>48</v>
      </c>
      <c r="AF13" s="15"/>
      <c r="AG13" s="15" t="s">
        <v>50</v>
      </c>
      <c r="AH13" s="15" t="s">
        <v>56</v>
      </c>
      <c r="AI13" s="15" t="s">
        <v>3214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7" t="str">
        <f t="shared" si="3"/>
        <v>No</v>
      </c>
      <c r="AV13" s="15"/>
      <c r="AW13" s="17"/>
      <c r="AX13" s="17"/>
      <c r="AY13" s="15"/>
    </row>
    <row r="14" spans="1:51" x14ac:dyDescent="0.35">
      <c r="A14" s="9">
        <f t="shared" si="4"/>
        <v>13</v>
      </c>
      <c r="B14" s="14">
        <v>250016</v>
      </c>
      <c r="C14" s="15" t="s">
        <v>32</v>
      </c>
      <c r="D14" s="16" t="s">
        <v>119</v>
      </c>
      <c r="E14" s="16" t="s">
        <v>120</v>
      </c>
      <c r="F14" s="16" t="s">
        <v>121</v>
      </c>
      <c r="G14" s="16" t="s">
        <v>138</v>
      </c>
      <c r="H14" s="16"/>
      <c r="I14" s="8" t="str">
        <f>IFERROR(VLOOKUP(H14,'SI Codes'!$A:$B,2,FALSE),"")</f>
        <v/>
      </c>
      <c r="J14" s="15" t="s">
        <v>61</v>
      </c>
      <c r="K14" s="10" t="str">
        <f>IFERROR(VLOOKUP(J14,Lists!$I$1:$J$21,2,FALSE),"")</f>
        <v>Operations</v>
      </c>
      <c r="L14" s="15" t="s">
        <v>39</v>
      </c>
      <c r="M14" s="15" t="s">
        <v>42</v>
      </c>
      <c r="N14" s="15" t="s">
        <v>29</v>
      </c>
      <c r="O14" s="15" t="s">
        <v>29</v>
      </c>
      <c r="P14" s="15"/>
      <c r="Q14" s="17">
        <v>45795</v>
      </c>
      <c r="R14" s="7" t="str">
        <f t="shared" ca="1" si="0"/>
        <v>0y 7m</v>
      </c>
      <c r="S14" s="18">
        <v>1116410302</v>
      </c>
      <c r="T14" s="18">
        <v>1127682219</v>
      </c>
      <c r="U14" s="19">
        <v>68792755</v>
      </c>
      <c r="V14" s="15" t="s">
        <v>29</v>
      </c>
      <c r="W14" s="20"/>
      <c r="X14" s="20"/>
      <c r="Y14" s="15"/>
      <c r="Z14" s="21">
        <v>29105302100298</v>
      </c>
      <c r="AA14" s="6">
        <f t="shared" si="1"/>
        <v>33388</v>
      </c>
      <c r="AB14" s="7" t="str">
        <f t="shared" ca="1" si="2"/>
        <v>34y 7m</v>
      </c>
      <c r="AC14" s="17"/>
      <c r="AD14" s="17"/>
      <c r="AE14" s="15" t="s">
        <v>48</v>
      </c>
      <c r="AF14" s="15"/>
      <c r="AG14" s="15" t="s">
        <v>51</v>
      </c>
      <c r="AH14" s="15" t="s">
        <v>56</v>
      </c>
      <c r="AI14" s="15" t="s">
        <v>3215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7" t="str">
        <f t="shared" si="3"/>
        <v>No</v>
      </c>
      <c r="AV14" s="15"/>
      <c r="AW14" s="17"/>
      <c r="AX14" s="17"/>
      <c r="AY14" s="15"/>
    </row>
    <row r="15" spans="1:51" x14ac:dyDescent="0.35">
      <c r="A15" s="9">
        <f t="shared" si="4"/>
        <v>14</v>
      </c>
      <c r="B15" s="14">
        <v>250017</v>
      </c>
      <c r="C15" s="15" t="s">
        <v>32</v>
      </c>
      <c r="D15" s="16" t="s">
        <v>122</v>
      </c>
      <c r="E15" s="16" t="s">
        <v>123</v>
      </c>
      <c r="F15" s="16" t="s">
        <v>124</v>
      </c>
      <c r="G15" s="16" t="s">
        <v>134</v>
      </c>
      <c r="H15" s="16"/>
      <c r="I15" s="8" t="str">
        <f>IFERROR(VLOOKUP(H15,'SI Codes'!$A:$B,2,FALSE),"")</f>
        <v/>
      </c>
      <c r="J15" s="15" t="s">
        <v>77</v>
      </c>
      <c r="K15" s="10" t="str">
        <f>IFERROR(VLOOKUP(J15,Lists!$I$1:$J$21,2,FALSE),"")</f>
        <v>HR and Admin</v>
      </c>
      <c r="L15" s="15" t="s">
        <v>39</v>
      </c>
      <c r="M15" s="15" t="s">
        <v>42</v>
      </c>
      <c r="N15" s="15" t="s">
        <v>29</v>
      </c>
      <c r="O15" s="15" t="s">
        <v>29</v>
      </c>
      <c r="P15" s="15"/>
      <c r="Q15" s="17">
        <v>45788</v>
      </c>
      <c r="R15" s="7" t="str">
        <f t="shared" ca="1" si="0"/>
        <v>0y 7m</v>
      </c>
      <c r="S15" s="18">
        <v>1123898859</v>
      </c>
      <c r="T15" s="18"/>
      <c r="U15" s="19">
        <v>43630698</v>
      </c>
      <c r="V15" s="15" t="s">
        <v>29</v>
      </c>
      <c r="W15" s="20"/>
      <c r="X15" s="20"/>
      <c r="Y15" s="15"/>
      <c r="Z15" s="21">
        <v>29011080103957</v>
      </c>
      <c r="AA15" s="6">
        <f t="shared" si="1"/>
        <v>33185</v>
      </c>
      <c r="AB15" s="7" t="str">
        <f t="shared" ca="1" si="2"/>
        <v>35y 1m</v>
      </c>
      <c r="AC15" s="17"/>
      <c r="AD15" s="17"/>
      <c r="AE15" s="15" t="s">
        <v>48</v>
      </c>
      <c r="AF15" s="15"/>
      <c r="AG15" s="15" t="s">
        <v>50</v>
      </c>
      <c r="AH15" s="15" t="s">
        <v>56</v>
      </c>
      <c r="AI15" s="15" t="s">
        <v>3210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7" t="str">
        <f t="shared" si="3"/>
        <v>No</v>
      </c>
      <c r="AV15" s="15"/>
      <c r="AW15" s="17"/>
      <c r="AX15" s="17"/>
      <c r="AY15" s="15"/>
    </row>
    <row r="16" spans="1:51" x14ac:dyDescent="0.35">
      <c r="A16" s="9">
        <f t="shared" si="4"/>
        <v>15</v>
      </c>
      <c r="B16" s="14">
        <v>250018</v>
      </c>
      <c r="C16" s="15" t="s">
        <v>32</v>
      </c>
      <c r="D16" s="16" t="s">
        <v>125</v>
      </c>
      <c r="E16" s="16" t="s">
        <v>126</v>
      </c>
      <c r="F16" s="16" t="s">
        <v>127</v>
      </c>
      <c r="G16" s="16" t="s">
        <v>140</v>
      </c>
      <c r="H16" s="16"/>
      <c r="I16" s="8" t="str">
        <f>IFERROR(VLOOKUP(H16,'SI Codes'!$A:$B,2,FALSE),"")</f>
        <v/>
      </c>
      <c r="J16" s="15" t="s">
        <v>74</v>
      </c>
      <c r="K16" s="10" t="str">
        <f>IFERROR(VLOOKUP(J16,Lists!$I$1:$J$21,2,FALSE),"")</f>
        <v>Supply Chain</v>
      </c>
      <c r="L16" s="15" t="s">
        <v>39</v>
      </c>
      <c r="M16" s="15" t="s">
        <v>43</v>
      </c>
      <c r="N16" s="15" t="s">
        <v>30</v>
      </c>
      <c r="O16" s="15" t="s">
        <v>30</v>
      </c>
      <c r="P16" s="15"/>
      <c r="Q16" s="17">
        <v>45796</v>
      </c>
      <c r="R16" s="7" t="str">
        <f t="shared" ca="1" si="0"/>
        <v>0y 7m</v>
      </c>
      <c r="S16" s="18">
        <v>1121235909</v>
      </c>
      <c r="T16" s="18"/>
      <c r="U16" s="19">
        <v>86813304</v>
      </c>
      <c r="V16" s="15" t="s">
        <v>29</v>
      </c>
      <c r="W16" s="20"/>
      <c r="X16" s="20"/>
      <c r="Y16" s="15"/>
      <c r="Z16" s="21">
        <v>29806032800738</v>
      </c>
      <c r="AA16" s="6">
        <f t="shared" si="1"/>
        <v>35949</v>
      </c>
      <c r="AB16" s="7" t="str">
        <f t="shared" ca="1" si="2"/>
        <v>27y 6m</v>
      </c>
      <c r="AC16" s="17"/>
      <c r="AD16" s="17"/>
      <c r="AE16" s="15" t="s">
        <v>48</v>
      </c>
      <c r="AF16" s="15"/>
      <c r="AG16" s="15" t="s">
        <v>50</v>
      </c>
      <c r="AH16" s="15" t="s">
        <v>56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7" t="str">
        <f t="shared" si="3"/>
        <v>No</v>
      </c>
      <c r="AV16" s="15"/>
      <c r="AW16" s="17"/>
      <c r="AX16" s="17"/>
      <c r="AY16" s="15"/>
    </row>
    <row r="17" spans="1:51" x14ac:dyDescent="0.35">
      <c r="A17" s="9">
        <f t="shared" si="4"/>
        <v>16</v>
      </c>
      <c r="B17" s="14"/>
      <c r="C17" s="15"/>
      <c r="D17" s="16"/>
      <c r="E17" s="16"/>
      <c r="F17" s="16"/>
      <c r="G17" s="16"/>
      <c r="H17" s="16"/>
      <c r="I17" s="8" t="str">
        <f>IFERROR(VLOOKUP(H17,'SI Codes'!$A:$B,2,FALSE),"")</f>
        <v/>
      </c>
      <c r="J17" s="15"/>
      <c r="K17" s="10" t="str">
        <f>IFERROR(VLOOKUP(J17,Lists!$I$1:$J$21,2,FALSE),"")</f>
        <v/>
      </c>
      <c r="L17" s="15"/>
      <c r="M17" s="15"/>
      <c r="N17" s="15"/>
      <c r="O17" s="15"/>
      <c r="P17" s="15"/>
      <c r="Q17" s="17"/>
      <c r="R17" s="7" t="str">
        <f t="shared" ca="1" si="0"/>
        <v/>
      </c>
      <c r="S17" s="18"/>
      <c r="T17" s="18"/>
      <c r="U17" s="19"/>
      <c r="V17" s="15"/>
      <c r="W17" s="20"/>
      <c r="X17" s="20"/>
      <c r="Y17" s="15"/>
      <c r="Z17" s="21"/>
      <c r="AA17" s="6" t="str">
        <f t="shared" si="1"/>
        <v/>
      </c>
      <c r="AB17" s="7" t="str">
        <f t="shared" ca="1" si="2"/>
        <v/>
      </c>
      <c r="AC17" s="17"/>
      <c r="AD17" s="17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7" t="str">
        <f t="shared" si="3"/>
        <v>No</v>
      </c>
      <c r="AV17" s="15"/>
      <c r="AW17" s="17"/>
      <c r="AX17" s="17"/>
      <c r="AY17" s="15"/>
    </row>
    <row r="18" spans="1:51" x14ac:dyDescent="0.35">
      <c r="A18" s="9">
        <f t="shared" si="4"/>
        <v>17</v>
      </c>
      <c r="B18" s="14"/>
      <c r="C18" s="15"/>
      <c r="D18" s="16"/>
      <c r="E18" s="16"/>
      <c r="F18" s="16"/>
      <c r="G18" s="16"/>
      <c r="H18" s="16"/>
      <c r="I18" s="8" t="str">
        <f>IFERROR(VLOOKUP(H18,'SI Codes'!$A:$B,2,FALSE),"")</f>
        <v/>
      </c>
      <c r="J18" s="15"/>
      <c r="K18" s="10" t="str">
        <f>IFERROR(VLOOKUP(J18,Lists!$I$1:$J$21,2,FALSE),"")</f>
        <v/>
      </c>
      <c r="L18" s="15"/>
      <c r="M18" s="15"/>
      <c r="N18" s="15"/>
      <c r="O18" s="15"/>
      <c r="P18" s="15"/>
      <c r="Q18" s="17"/>
      <c r="R18" s="7" t="str">
        <f t="shared" ca="1" si="0"/>
        <v/>
      </c>
      <c r="S18" s="18"/>
      <c r="T18" s="18"/>
      <c r="U18" s="19"/>
      <c r="V18" s="15"/>
      <c r="W18" s="20"/>
      <c r="X18" s="20"/>
      <c r="Y18" s="15"/>
      <c r="Z18" s="21"/>
      <c r="AA18" s="6" t="str">
        <f t="shared" si="1"/>
        <v/>
      </c>
      <c r="AB18" s="7" t="str">
        <f t="shared" ca="1" si="2"/>
        <v/>
      </c>
      <c r="AC18" s="17"/>
      <c r="AD18" s="17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7" t="str">
        <f t="shared" si="3"/>
        <v>No</v>
      </c>
      <c r="AV18" s="15"/>
      <c r="AW18" s="17"/>
      <c r="AX18" s="17"/>
      <c r="AY18" s="15"/>
    </row>
    <row r="19" spans="1:51" x14ac:dyDescent="0.35">
      <c r="A19" s="9">
        <f t="shared" si="4"/>
        <v>18</v>
      </c>
      <c r="B19" s="14"/>
      <c r="C19" s="15"/>
      <c r="D19" s="16"/>
      <c r="E19" s="16"/>
      <c r="F19" s="16"/>
      <c r="G19" s="16"/>
      <c r="H19" s="16"/>
      <c r="I19" s="8" t="str">
        <f>IFERROR(VLOOKUP(H19,'SI Codes'!$A:$B,2,FALSE),"")</f>
        <v/>
      </c>
      <c r="J19" s="15"/>
      <c r="K19" s="10" t="str">
        <f>IFERROR(VLOOKUP(J19,Lists!$I$1:$J$21,2,FALSE),"")</f>
        <v/>
      </c>
      <c r="L19" s="15"/>
      <c r="M19" s="15"/>
      <c r="N19" s="15"/>
      <c r="O19" s="15"/>
      <c r="P19" s="15"/>
      <c r="Q19" s="17"/>
      <c r="R19" s="7" t="str">
        <f t="shared" ca="1" si="0"/>
        <v/>
      </c>
      <c r="S19" s="18"/>
      <c r="T19" s="18"/>
      <c r="U19" s="19"/>
      <c r="V19" s="15"/>
      <c r="W19" s="20"/>
      <c r="X19" s="20"/>
      <c r="Y19" s="15"/>
      <c r="Z19" s="21"/>
      <c r="AA19" s="6" t="str">
        <f t="shared" si="1"/>
        <v/>
      </c>
      <c r="AB19" s="7" t="str">
        <f t="shared" ca="1" si="2"/>
        <v/>
      </c>
      <c r="AC19" s="17"/>
      <c r="AD19" s="17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7" t="str">
        <f t="shared" si="3"/>
        <v>No</v>
      </c>
      <c r="AV19" s="15"/>
      <c r="AW19" s="17"/>
      <c r="AX19" s="17"/>
      <c r="AY19" s="15"/>
    </row>
    <row r="20" spans="1:51" x14ac:dyDescent="0.35">
      <c r="A20" s="9">
        <f t="shared" si="4"/>
        <v>19</v>
      </c>
      <c r="B20" s="14"/>
      <c r="C20" s="15"/>
      <c r="D20" s="16"/>
      <c r="E20" s="16"/>
      <c r="F20" s="16"/>
      <c r="G20" s="16"/>
      <c r="H20" s="16"/>
      <c r="I20" s="8" t="str">
        <f>IFERROR(VLOOKUP(H20,'SI Codes'!$A:$B,2,FALSE),"")</f>
        <v/>
      </c>
      <c r="J20" s="15"/>
      <c r="K20" s="10" t="str">
        <f>IFERROR(VLOOKUP(J20,Lists!$I$1:$J$21,2,FALSE),"")</f>
        <v/>
      </c>
      <c r="L20" s="15"/>
      <c r="M20" s="15"/>
      <c r="N20" s="15"/>
      <c r="O20" s="15"/>
      <c r="P20" s="15"/>
      <c r="Q20" s="17"/>
      <c r="R20" s="7" t="str">
        <f t="shared" ca="1" si="0"/>
        <v/>
      </c>
      <c r="S20" s="18"/>
      <c r="T20" s="18"/>
      <c r="U20" s="19"/>
      <c r="V20" s="15"/>
      <c r="W20" s="20"/>
      <c r="X20" s="20"/>
      <c r="Y20" s="15"/>
      <c r="Z20" s="21"/>
      <c r="AA20" s="6" t="str">
        <f t="shared" si="1"/>
        <v/>
      </c>
      <c r="AB20" s="7" t="str">
        <f t="shared" ca="1" si="2"/>
        <v/>
      </c>
      <c r="AC20" s="17"/>
      <c r="AD20" s="17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7" t="str">
        <f t="shared" si="3"/>
        <v>No</v>
      </c>
      <c r="AV20" s="15"/>
      <c r="AW20" s="17"/>
      <c r="AX20" s="17"/>
      <c r="AY20" s="15"/>
    </row>
    <row r="21" spans="1:51" x14ac:dyDescent="0.35">
      <c r="A21" s="9">
        <f t="shared" si="4"/>
        <v>20</v>
      </c>
      <c r="B21" s="14"/>
      <c r="C21" s="15"/>
      <c r="D21" s="16"/>
      <c r="E21" s="16"/>
      <c r="F21" s="16"/>
      <c r="G21" s="16"/>
      <c r="H21" s="16"/>
      <c r="I21" s="8" t="str">
        <f>IFERROR(VLOOKUP(H21,'SI Codes'!$A:$B,2,FALSE),"")</f>
        <v/>
      </c>
      <c r="J21" s="15"/>
      <c r="K21" s="10" t="str">
        <f>IFERROR(VLOOKUP(J21,Lists!$I$1:$J$21,2,FALSE),"")</f>
        <v/>
      </c>
      <c r="L21" s="15"/>
      <c r="M21" s="15"/>
      <c r="N21" s="15"/>
      <c r="O21" s="15"/>
      <c r="P21" s="15"/>
      <c r="Q21" s="17"/>
      <c r="R21" s="7" t="str">
        <f t="shared" ca="1" si="0"/>
        <v/>
      </c>
      <c r="S21" s="18"/>
      <c r="T21" s="18"/>
      <c r="U21" s="19"/>
      <c r="V21" s="15"/>
      <c r="W21" s="20"/>
      <c r="X21" s="20"/>
      <c r="Y21" s="15"/>
      <c r="Z21" s="21"/>
      <c r="AA21" s="6" t="str">
        <f t="shared" si="1"/>
        <v/>
      </c>
      <c r="AB21" s="7" t="str">
        <f t="shared" ca="1" si="2"/>
        <v/>
      </c>
      <c r="AC21" s="17"/>
      <c r="AD21" s="17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7" t="str">
        <f t="shared" si="3"/>
        <v>No</v>
      </c>
      <c r="AV21" s="15"/>
      <c r="AW21" s="17"/>
      <c r="AX21" s="17"/>
      <c r="AY21" s="15"/>
    </row>
    <row r="22" spans="1:51" x14ac:dyDescent="0.35">
      <c r="A22" s="9">
        <f t="shared" si="4"/>
        <v>21</v>
      </c>
      <c r="B22" s="14"/>
      <c r="C22" s="15"/>
      <c r="D22" s="16"/>
      <c r="E22" s="16"/>
      <c r="F22" s="16"/>
      <c r="G22" s="16"/>
      <c r="H22" s="16"/>
      <c r="I22" s="8" t="str">
        <f>IFERROR(VLOOKUP(H22,'SI Codes'!$A:$B,2,FALSE),"")</f>
        <v/>
      </c>
      <c r="J22" s="15"/>
      <c r="K22" s="10" t="str">
        <f>IFERROR(VLOOKUP(J22,Lists!$I$1:$J$21,2,FALSE),"")</f>
        <v/>
      </c>
      <c r="L22" s="15"/>
      <c r="M22" s="15"/>
      <c r="N22" s="15"/>
      <c r="O22" s="15"/>
      <c r="P22" s="15"/>
      <c r="Q22" s="17"/>
      <c r="R22" s="7" t="str">
        <f t="shared" ca="1" si="0"/>
        <v/>
      </c>
      <c r="S22" s="18"/>
      <c r="T22" s="18"/>
      <c r="U22" s="19"/>
      <c r="V22" s="15"/>
      <c r="W22" s="20"/>
      <c r="X22" s="20"/>
      <c r="Y22" s="15"/>
      <c r="Z22" s="21"/>
      <c r="AA22" s="6" t="str">
        <f t="shared" si="1"/>
        <v/>
      </c>
      <c r="AB22" s="7" t="str">
        <f t="shared" ca="1" si="2"/>
        <v/>
      </c>
      <c r="AC22" s="17"/>
      <c r="AD22" s="17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7" t="str">
        <f t="shared" si="3"/>
        <v>No</v>
      </c>
      <c r="AV22" s="15"/>
      <c r="AW22" s="17"/>
      <c r="AX22" s="17"/>
      <c r="AY22" s="15"/>
    </row>
    <row r="23" spans="1:51" x14ac:dyDescent="0.35">
      <c r="A23" s="9">
        <f t="shared" si="4"/>
        <v>22</v>
      </c>
      <c r="B23" s="14"/>
      <c r="C23" s="15"/>
      <c r="D23" s="16"/>
      <c r="E23" s="16"/>
      <c r="F23" s="16"/>
      <c r="G23" s="16"/>
      <c r="H23" s="16"/>
      <c r="I23" s="8" t="str">
        <f>IFERROR(VLOOKUP(H23,'SI Codes'!$A:$B,2,FALSE),"")</f>
        <v/>
      </c>
      <c r="J23" s="15"/>
      <c r="K23" s="10" t="str">
        <f>IFERROR(VLOOKUP(J23,Lists!$I$1:$J$21,2,FALSE),"")</f>
        <v/>
      </c>
      <c r="L23" s="15"/>
      <c r="M23" s="15"/>
      <c r="N23" s="15"/>
      <c r="O23" s="15"/>
      <c r="P23" s="15"/>
      <c r="Q23" s="17"/>
      <c r="R23" s="7" t="str">
        <f t="shared" ca="1" si="0"/>
        <v/>
      </c>
      <c r="S23" s="18"/>
      <c r="T23" s="18"/>
      <c r="U23" s="19"/>
      <c r="V23" s="15"/>
      <c r="W23" s="20"/>
      <c r="X23" s="20"/>
      <c r="Y23" s="15"/>
      <c r="Z23" s="21"/>
      <c r="AA23" s="6" t="str">
        <f t="shared" si="1"/>
        <v/>
      </c>
      <c r="AB23" s="7" t="str">
        <f t="shared" ca="1" si="2"/>
        <v/>
      </c>
      <c r="AC23" s="17"/>
      <c r="AD23" s="17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7" t="str">
        <f t="shared" si="3"/>
        <v>No</v>
      </c>
      <c r="AV23" s="15"/>
      <c r="AW23" s="17"/>
      <c r="AX23" s="17"/>
      <c r="AY23" s="15"/>
    </row>
    <row r="24" spans="1:51" x14ac:dyDescent="0.35">
      <c r="A24" s="9">
        <f t="shared" si="4"/>
        <v>23</v>
      </c>
      <c r="B24" s="14"/>
      <c r="C24" s="15"/>
      <c r="D24" s="16"/>
      <c r="E24" s="16"/>
      <c r="F24" s="16"/>
      <c r="G24" s="16"/>
      <c r="H24" s="16"/>
      <c r="I24" s="8" t="str">
        <f>IFERROR(VLOOKUP(H24,'SI Codes'!$A:$B,2,FALSE),"")</f>
        <v/>
      </c>
      <c r="J24" s="15"/>
      <c r="K24" s="10" t="str">
        <f>IFERROR(VLOOKUP(J24,Lists!$I$1:$J$21,2,FALSE),"")</f>
        <v/>
      </c>
      <c r="L24" s="15"/>
      <c r="M24" s="15"/>
      <c r="N24" s="15"/>
      <c r="O24" s="15"/>
      <c r="P24" s="15"/>
      <c r="Q24" s="17"/>
      <c r="R24" s="7" t="str">
        <f t="shared" ca="1" si="0"/>
        <v/>
      </c>
      <c r="S24" s="18"/>
      <c r="T24" s="18"/>
      <c r="U24" s="19"/>
      <c r="V24" s="15"/>
      <c r="W24" s="20"/>
      <c r="X24" s="20"/>
      <c r="Y24" s="15"/>
      <c r="Z24" s="21"/>
      <c r="AA24" s="6" t="str">
        <f t="shared" si="1"/>
        <v/>
      </c>
      <c r="AB24" s="7" t="str">
        <f t="shared" ca="1" si="2"/>
        <v/>
      </c>
      <c r="AC24" s="17"/>
      <c r="AD24" s="17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7" t="str">
        <f t="shared" si="3"/>
        <v>No</v>
      </c>
      <c r="AV24" s="15"/>
      <c r="AW24" s="17"/>
      <c r="AX24" s="17"/>
      <c r="AY24" s="15"/>
    </row>
    <row r="25" spans="1:51" x14ac:dyDescent="0.35">
      <c r="A25" s="9">
        <f t="shared" si="4"/>
        <v>24</v>
      </c>
      <c r="B25" s="14"/>
      <c r="C25" s="15"/>
      <c r="D25" s="16"/>
      <c r="E25" s="16"/>
      <c r="F25" s="16"/>
      <c r="G25" s="16"/>
      <c r="H25" s="16"/>
      <c r="I25" s="8" t="str">
        <f>IFERROR(VLOOKUP(H25,'SI Codes'!$A:$B,2,FALSE),"")</f>
        <v/>
      </c>
      <c r="J25" s="15"/>
      <c r="K25" s="10" t="str">
        <f>IFERROR(VLOOKUP(J25,Lists!$I$1:$J$21,2,FALSE),"")</f>
        <v/>
      </c>
      <c r="L25" s="15"/>
      <c r="M25" s="15"/>
      <c r="N25" s="15"/>
      <c r="O25" s="15"/>
      <c r="P25" s="15"/>
      <c r="Q25" s="17"/>
      <c r="R25" s="7" t="str">
        <f t="shared" ca="1" si="0"/>
        <v/>
      </c>
      <c r="S25" s="18"/>
      <c r="T25" s="18"/>
      <c r="U25" s="19"/>
      <c r="V25" s="15"/>
      <c r="W25" s="20"/>
      <c r="X25" s="20"/>
      <c r="Y25" s="15"/>
      <c r="Z25" s="21"/>
      <c r="AA25" s="6" t="str">
        <f t="shared" si="1"/>
        <v/>
      </c>
      <c r="AB25" s="7" t="str">
        <f t="shared" ca="1" si="2"/>
        <v/>
      </c>
      <c r="AC25" s="17"/>
      <c r="AD25" s="17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7" t="str">
        <f t="shared" si="3"/>
        <v>No</v>
      </c>
      <c r="AV25" s="15"/>
      <c r="AW25" s="17"/>
      <c r="AX25" s="17"/>
      <c r="AY25" s="15"/>
    </row>
    <row r="26" spans="1:51" x14ac:dyDescent="0.35">
      <c r="A26" s="9">
        <f t="shared" si="4"/>
        <v>25</v>
      </c>
      <c r="B26" s="14"/>
      <c r="C26" s="15"/>
      <c r="D26" s="16"/>
      <c r="E26" s="16"/>
      <c r="F26" s="16"/>
      <c r="G26" s="16"/>
      <c r="H26" s="16"/>
      <c r="I26" s="8" t="str">
        <f>IFERROR(VLOOKUP(H26,'SI Codes'!$A:$B,2,FALSE),"")</f>
        <v/>
      </c>
      <c r="J26" s="15"/>
      <c r="K26" s="10" t="str">
        <f>IFERROR(VLOOKUP(J26,Lists!$I$1:$J$21,2,FALSE),"")</f>
        <v/>
      </c>
      <c r="L26" s="15"/>
      <c r="M26" s="15"/>
      <c r="N26" s="15"/>
      <c r="O26" s="15"/>
      <c r="P26" s="15"/>
      <c r="Q26" s="17"/>
      <c r="R26" s="7" t="str">
        <f t="shared" ca="1" si="0"/>
        <v/>
      </c>
      <c r="S26" s="18"/>
      <c r="T26" s="18"/>
      <c r="U26" s="19"/>
      <c r="V26" s="15"/>
      <c r="W26" s="20"/>
      <c r="X26" s="20"/>
      <c r="Y26" s="15"/>
      <c r="Z26" s="21"/>
      <c r="AA26" s="6" t="str">
        <f t="shared" si="1"/>
        <v/>
      </c>
      <c r="AB26" s="7" t="str">
        <f t="shared" ca="1" si="2"/>
        <v/>
      </c>
      <c r="AC26" s="17"/>
      <c r="AD26" s="17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7" t="str">
        <f t="shared" si="3"/>
        <v>No</v>
      </c>
      <c r="AV26" s="15"/>
      <c r="AW26" s="17"/>
      <c r="AX26" s="17"/>
      <c r="AY26" s="15"/>
    </row>
    <row r="27" spans="1:51" x14ac:dyDescent="0.35">
      <c r="A27" s="9">
        <f t="shared" si="4"/>
        <v>26</v>
      </c>
      <c r="B27" s="14"/>
      <c r="C27" s="15"/>
      <c r="D27" s="16"/>
      <c r="E27" s="16"/>
      <c r="F27" s="16"/>
      <c r="G27" s="16"/>
      <c r="H27" s="16"/>
      <c r="I27" s="8" t="str">
        <f>IFERROR(VLOOKUP(H27,'SI Codes'!$A:$B,2,FALSE),"")</f>
        <v/>
      </c>
      <c r="J27" s="15"/>
      <c r="K27" s="10" t="str">
        <f>IFERROR(VLOOKUP(J27,Lists!$I$1:$J$21,2,FALSE),"")</f>
        <v/>
      </c>
      <c r="L27" s="15"/>
      <c r="M27" s="15"/>
      <c r="N27" s="15"/>
      <c r="O27" s="15"/>
      <c r="P27" s="15"/>
      <c r="Q27" s="17"/>
      <c r="R27" s="7" t="str">
        <f t="shared" ca="1" si="0"/>
        <v/>
      </c>
      <c r="S27" s="18"/>
      <c r="T27" s="18"/>
      <c r="U27" s="19"/>
      <c r="V27" s="15"/>
      <c r="W27" s="20"/>
      <c r="X27" s="20"/>
      <c r="Y27" s="15"/>
      <c r="Z27" s="21"/>
      <c r="AA27" s="6" t="str">
        <f t="shared" si="1"/>
        <v/>
      </c>
      <c r="AB27" s="7" t="str">
        <f t="shared" ca="1" si="2"/>
        <v/>
      </c>
      <c r="AC27" s="17"/>
      <c r="AD27" s="17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7" t="str">
        <f t="shared" si="3"/>
        <v>No</v>
      </c>
      <c r="AV27" s="15"/>
      <c r="AW27" s="17"/>
      <c r="AX27" s="17"/>
      <c r="AY27" s="15"/>
    </row>
    <row r="28" spans="1:51" x14ac:dyDescent="0.35">
      <c r="A28" s="9">
        <f t="shared" si="4"/>
        <v>27</v>
      </c>
      <c r="B28" s="14"/>
      <c r="C28" s="15"/>
      <c r="D28" s="16"/>
      <c r="E28" s="16"/>
      <c r="F28" s="16"/>
      <c r="G28" s="16"/>
      <c r="H28" s="16"/>
      <c r="I28" s="8" t="str">
        <f>IFERROR(VLOOKUP(H28,'SI Codes'!$A:$B,2,FALSE),"")</f>
        <v/>
      </c>
      <c r="J28" s="15"/>
      <c r="K28" s="10" t="str">
        <f>IFERROR(VLOOKUP(J28,Lists!$I$1:$J$21,2,FALSE),"")</f>
        <v/>
      </c>
      <c r="L28" s="15"/>
      <c r="M28" s="15"/>
      <c r="N28" s="15"/>
      <c r="O28" s="15"/>
      <c r="P28" s="15"/>
      <c r="Q28" s="17"/>
      <c r="R28" s="7" t="str">
        <f t="shared" ca="1" si="0"/>
        <v/>
      </c>
      <c r="S28" s="18"/>
      <c r="T28" s="18"/>
      <c r="U28" s="19"/>
      <c r="V28" s="15"/>
      <c r="W28" s="20"/>
      <c r="X28" s="20"/>
      <c r="Y28" s="15"/>
      <c r="Z28" s="21"/>
      <c r="AA28" s="6" t="str">
        <f t="shared" si="1"/>
        <v/>
      </c>
      <c r="AB28" s="7" t="str">
        <f t="shared" ca="1" si="2"/>
        <v/>
      </c>
      <c r="AC28" s="17"/>
      <c r="AD28" s="17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7" t="str">
        <f t="shared" si="3"/>
        <v>No</v>
      </c>
      <c r="AV28" s="15"/>
      <c r="AW28" s="17"/>
      <c r="AX28" s="17"/>
      <c r="AY28" s="15"/>
    </row>
    <row r="29" spans="1:51" x14ac:dyDescent="0.35">
      <c r="A29" s="9">
        <f t="shared" si="4"/>
        <v>28</v>
      </c>
      <c r="B29" s="14"/>
      <c r="C29" s="15"/>
      <c r="D29" s="16"/>
      <c r="E29" s="16"/>
      <c r="F29" s="16"/>
      <c r="G29" s="16"/>
      <c r="H29" s="16"/>
      <c r="I29" s="8" t="str">
        <f>IFERROR(VLOOKUP(H29,'SI Codes'!$A:$B,2,FALSE),"")</f>
        <v/>
      </c>
      <c r="J29" s="15"/>
      <c r="K29" s="10" t="str">
        <f>IFERROR(VLOOKUP(J29,Lists!$I$1:$J$21,2,FALSE),"")</f>
        <v/>
      </c>
      <c r="L29" s="15"/>
      <c r="M29" s="15"/>
      <c r="N29" s="15"/>
      <c r="O29" s="15"/>
      <c r="P29" s="15"/>
      <c r="Q29" s="17"/>
      <c r="R29" s="7" t="str">
        <f t="shared" ca="1" si="0"/>
        <v/>
      </c>
      <c r="S29" s="18"/>
      <c r="T29" s="18"/>
      <c r="U29" s="19"/>
      <c r="V29" s="15"/>
      <c r="W29" s="20"/>
      <c r="X29" s="20"/>
      <c r="Y29" s="15"/>
      <c r="Z29" s="21"/>
      <c r="AA29" s="6" t="str">
        <f t="shared" si="1"/>
        <v/>
      </c>
      <c r="AB29" s="7" t="str">
        <f t="shared" ca="1" si="2"/>
        <v/>
      </c>
      <c r="AC29" s="17"/>
      <c r="AD29" s="17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7" t="str">
        <f t="shared" si="3"/>
        <v>No</v>
      </c>
      <c r="AV29" s="15"/>
      <c r="AW29" s="17"/>
      <c r="AX29" s="17"/>
      <c r="AY29" s="15"/>
    </row>
    <row r="30" spans="1:51" x14ac:dyDescent="0.35">
      <c r="A30" s="9">
        <f t="shared" si="4"/>
        <v>29</v>
      </c>
      <c r="B30" s="14"/>
      <c r="C30" s="15"/>
      <c r="D30" s="16"/>
      <c r="E30" s="16"/>
      <c r="F30" s="16"/>
      <c r="G30" s="16"/>
      <c r="H30" s="16"/>
      <c r="I30" s="8" t="str">
        <f>IFERROR(VLOOKUP(H30,'SI Codes'!$A:$B,2,FALSE),"")</f>
        <v/>
      </c>
      <c r="J30" s="15"/>
      <c r="K30" s="10" t="str">
        <f>IFERROR(VLOOKUP(J30,Lists!$I$1:$J$21,2,FALSE),"")</f>
        <v/>
      </c>
      <c r="L30" s="15"/>
      <c r="M30" s="15"/>
      <c r="N30" s="15"/>
      <c r="O30" s="15"/>
      <c r="P30" s="15"/>
      <c r="Q30" s="17"/>
      <c r="R30" s="7" t="str">
        <f t="shared" ca="1" si="0"/>
        <v/>
      </c>
      <c r="S30" s="18"/>
      <c r="T30" s="18"/>
      <c r="U30" s="19"/>
      <c r="V30" s="15"/>
      <c r="W30" s="20"/>
      <c r="X30" s="20"/>
      <c r="Y30" s="15"/>
      <c r="Z30" s="21"/>
      <c r="AA30" s="6" t="str">
        <f t="shared" si="1"/>
        <v/>
      </c>
      <c r="AB30" s="7" t="str">
        <f t="shared" ca="1" si="2"/>
        <v/>
      </c>
      <c r="AC30" s="17"/>
      <c r="AD30" s="17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7" t="str">
        <f t="shared" si="3"/>
        <v>No</v>
      </c>
      <c r="AV30" s="15"/>
      <c r="AW30" s="17"/>
      <c r="AX30" s="17"/>
      <c r="AY30" s="15"/>
    </row>
    <row r="31" spans="1:51" x14ac:dyDescent="0.35">
      <c r="A31" s="9">
        <f t="shared" si="4"/>
        <v>30</v>
      </c>
      <c r="B31" s="14"/>
      <c r="C31" s="15"/>
      <c r="D31" s="16"/>
      <c r="E31" s="16"/>
      <c r="F31" s="16"/>
      <c r="G31" s="16"/>
      <c r="H31" s="16"/>
      <c r="I31" s="8" t="str">
        <f>IFERROR(VLOOKUP(H31,'SI Codes'!$A:$B,2,FALSE),"")</f>
        <v/>
      </c>
      <c r="J31" s="15"/>
      <c r="K31" s="10" t="str">
        <f>IFERROR(VLOOKUP(J31,Lists!$I$1:$J$21,2,FALSE),"")</f>
        <v/>
      </c>
      <c r="L31" s="15"/>
      <c r="M31" s="15"/>
      <c r="N31" s="15"/>
      <c r="O31" s="15"/>
      <c r="P31" s="15"/>
      <c r="Q31" s="17"/>
      <c r="R31" s="7" t="str">
        <f t="shared" ca="1" si="0"/>
        <v/>
      </c>
      <c r="S31" s="18"/>
      <c r="T31" s="18"/>
      <c r="U31" s="19"/>
      <c r="V31" s="15"/>
      <c r="W31" s="20"/>
      <c r="X31" s="20"/>
      <c r="Y31" s="15"/>
      <c r="Z31" s="21"/>
      <c r="AA31" s="6" t="str">
        <f t="shared" si="1"/>
        <v/>
      </c>
      <c r="AB31" s="7" t="str">
        <f t="shared" ca="1" si="2"/>
        <v/>
      </c>
      <c r="AC31" s="17"/>
      <c r="AD31" s="17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7" t="str">
        <f t="shared" si="3"/>
        <v>No</v>
      </c>
      <c r="AV31" s="15"/>
      <c r="AW31" s="17"/>
      <c r="AX31" s="17"/>
      <c r="AY31" s="15"/>
    </row>
    <row r="32" spans="1:51" x14ac:dyDescent="0.35">
      <c r="A32" s="9">
        <f t="shared" si="4"/>
        <v>31</v>
      </c>
      <c r="B32" s="14"/>
      <c r="C32" s="15"/>
      <c r="D32" s="16"/>
      <c r="E32" s="16"/>
      <c r="F32" s="16"/>
      <c r="G32" s="16"/>
      <c r="H32" s="16"/>
      <c r="I32" s="8" t="str">
        <f>IFERROR(VLOOKUP(H32,'SI Codes'!$A:$B,2,FALSE),"")</f>
        <v/>
      </c>
      <c r="J32" s="15"/>
      <c r="K32" s="10" t="str">
        <f>IFERROR(VLOOKUP(J32,Lists!$I$1:$J$21,2,FALSE),"")</f>
        <v/>
      </c>
      <c r="L32" s="15"/>
      <c r="M32" s="15"/>
      <c r="N32" s="15"/>
      <c r="O32" s="15"/>
      <c r="P32" s="15"/>
      <c r="Q32" s="17"/>
      <c r="R32" s="7" t="str">
        <f t="shared" ca="1" si="0"/>
        <v/>
      </c>
      <c r="S32" s="18"/>
      <c r="T32" s="18"/>
      <c r="U32" s="19"/>
      <c r="V32" s="15"/>
      <c r="W32" s="20"/>
      <c r="X32" s="20"/>
      <c r="Y32" s="15"/>
      <c r="Z32" s="21"/>
      <c r="AA32" s="6" t="str">
        <f t="shared" si="1"/>
        <v/>
      </c>
      <c r="AB32" s="7" t="str">
        <f t="shared" ca="1" si="2"/>
        <v/>
      </c>
      <c r="AC32" s="17"/>
      <c r="AD32" s="17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7" t="str">
        <f t="shared" si="3"/>
        <v>No</v>
      </c>
      <c r="AV32" s="15"/>
      <c r="AW32" s="17"/>
      <c r="AX32" s="17"/>
      <c r="AY32" s="15"/>
    </row>
    <row r="33" spans="1:51" x14ac:dyDescent="0.35">
      <c r="A33" s="9">
        <f t="shared" si="4"/>
        <v>32</v>
      </c>
      <c r="B33" s="14"/>
      <c r="C33" s="15"/>
      <c r="D33" s="16"/>
      <c r="E33" s="16"/>
      <c r="F33" s="16"/>
      <c r="G33" s="16"/>
      <c r="H33" s="16"/>
      <c r="I33" s="8" t="str">
        <f>IFERROR(VLOOKUP(H33,'SI Codes'!$A:$B,2,FALSE),"")</f>
        <v/>
      </c>
      <c r="J33" s="15"/>
      <c r="K33" s="10" t="str">
        <f>IFERROR(VLOOKUP(J33,Lists!$I$1:$J$21,2,FALSE),"")</f>
        <v/>
      </c>
      <c r="L33" s="15"/>
      <c r="M33" s="15"/>
      <c r="N33" s="15"/>
      <c r="O33" s="15"/>
      <c r="P33" s="15"/>
      <c r="Q33" s="17"/>
      <c r="R33" s="7" t="str">
        <f t="shared" ca="1" si="0"/>
        <v/>
      </c>
      <c r="S33" s="18"/>
      <c r="T33" s="18"/>
      <c r="U33" s="19"/>
      <c r="V33" s="15"/>
      <c r="W33" s="20"/>
      <c r="X33" s="20"/>
      <c r="Y33" s="15"/>
      <c r="Z33" s="21"/>
      <c r="AA33" s="6" t="str">
        <f t="shared" si="1"/>
        <v/>
      </c>
      <c r="AB33" s="7" t="str">
        <f t="shared" ca="1" si="2"/>
        <v/>
      </c>
      <c r="AC33" s="17"/>
      <c r="AD33" s="17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7" t="str">
        <f t="shared" si="3"/>
        <v>No</v>
      </c>
      <c r="AV33" s="15"/>
      <c r="AW33" s="17"/>
      <c r="AX33" s="17"/>
      <c r="AY33" s="15"/>
    </row>
    <row r="34" spans="1:51" x14ac:dyDescent="0.35">
      <c r="A34" s="9">
        <f t="shared" si="4"/>
        <v>33</v>
      </c>
      <c r="B34" s="14"/>
      <c r="C34" s="15"/>
      <c r="D34" s="16"/>
      <c r="E34" s="16"/>
      <c r="F34" s="16"/>
      <c r="G34" s="16"/>
      <c r="H34" s="16"/>
      <c r="I34" s="8" t="str">
        <f>IFERROR(VLOOKUP(H34,'SI Codes'!$A:$B,2,FALSE),"")</f>
        <v/>
      </c>
      <c r="J34" s="15"/>
      <c r="K34" s="10" t="str">
        <f>IFERROR(VLOOKUP(J34,Lists!$I$1:$J$21,2,FALSE),"")</f>
        <v/>
      </c>
      <c r="L34" s="15"/>
      <c r="M34" s="15"/>
      <c r="N34" s="15"/>
      <c r="O34" s="15"/>
      <c r="P34" s="15"/>
      <c r="Q34" s="17"/>
      <c r="R34" s="7" t="str">
        <f t="shared" ref="R34:R51" ca="1" si="5">IF(Q34="","",IF(C34="Resigned",IF(AX34="","",DATEDIF(Q34,AX34,"y")&amp;"y "&amp;DATEDIF(Q34,AX34,"ym")&amp;"m"),DATEDIF(Q34,TODAY(),"y")&amp;"y "&amp;DATEDIF(Q34,TODAY(),"ym")&amp;"m"))</f>
        <v/>
      </c>
      <c r="S34" s="18"/>
      <c r="T34" s="18"/>
      <c r="U34" s="19"/>
      <c r="V34" s="15"/>
      <c r="W34" s="20"/>
      <c r="X34" s="20"/>
      <c r="Y34" s="15"/>
      <c r="Z34" s="21"/>
      <c r="AA34" s="6" t="str">
        <f t="shared" ref="AA34:AA51" si="6">IFERROR(DATE(IF(LEFT(Z34,1)="2",1900,2000)+VALUE(MID(Z34,2,2)),VALUE(MID(Z34,4,2)),VALUE(MID(Z34,6,2))),"")</f>
        <v/>
      </c>
      <c r="AB34" s="7" t="str">
        <f t="shared" ref="AB34:AB51" ca="1" si="7">IF(AA34="","",DATEDIF(AA34,TODAY(),"y")&amp;"y "&amp;DATEDIF(AA34,TODAY(),"ym")&amp;"m")</f>
        <v/>
      </c>
      <c r="AC34" s="17"/>
      <c r="AD34" s="17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7" t="str">
        <f t="shared" ref="AU34:AU65" si="8">IF(COUNTIF(AJ34:AT34,"Yes")=COLUMNS(AJ34:AT34),"Yes","No")</f>
        <v>No</v>
      </c>
      <c r="AV34" s="15"/>
      <c r="AW34" s="17"/>
      <c r="AX34" s="17"/>
      <c r="AY34" s="15"/>
    </row>
    <row r="35" spans="1:51" x14ac:dyDescent="0.35">
      <c r="A35" s="9">
        <f t="shared" si="4"/>
        <v>34</v>
      </c>
      <c r="B35" s="14"/>
      <c r="C35" s="15"/>
      <c r="D35" s="16"/>
      <c r="E35" s="16"/>
      <c r="F35" s="16"/>
      <c r="G35" s="16"/>
      <c r="H35" s="16"/>
      <c r="I35" s="8" t="str">
        <f>IFERROR(VLOOKUP(H35,'SI Codes'!$A:$B,2,FALSE),"")</f>
        <v/>
      </c>
      <c r="J35" s="15"/>
      <c r="K35" s="10" t="str">
        <f>IFERROR(VLOOKUP(J35,Lists!$I$1:$J$21,2,FALSE),"")</f>
        <v/>
      </c>
      <c r="L35" s="15"/>
      <c r="M35" s="15"/>
      <c r="N35" s="15"/>
      <c r="O35" s="15"/>
      <c r="P35" s="15"/>
      <c r="Q35" s="17"/>
      <c r="R35" s="7" t="str">
        <f t="shared" ca="1" si="5"/>
        <v/>
      </c>
      <c r="S35" s="18"/>
      <c r="T35" s="18"/>
      <c r="U35" s="19"/>
      <c r="V35" s="15"/>
      <c r="W35" s="20"/>
      <c r="X35" s="20"/>
      <c r="Y35" s="15"/>
      <c r="Z35" s="21"/>
      <c r="AA35" s="6" t="str">
        <f t="shared" si="6"/>
        <v/>
      </c>
      <c r="AB35" s="7" t="str">
        <f t="shared" ca="1" si="7"/>
        <v/>
      </c>
      <c r="AC35" s="17"/>
      <c r="AD35" s="17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7" t="str">
        <f t="shared" si="8"/>
        <v>No</v>
      </c>
      <c r="AV35" s="15"/>
      <c r="AW35" s="17"/>
      <c r="AX35" s="17"/>
      <c r="AY35" s="15"/>
    </row>
    <row r="36" spans="1:51" x14ac:dyDescent="0.35">
      <c r="A36" s="9">
        <f t="shared" si="4"/>
        <v>35</v>
      </c>
      <c r="B36" s="14"/>
      <c r="C36" s="15"/>
      <c r="D36" s="16"/>
      <c r="E36" s="16"/>
      <c r="F36" s="16"/>
      <c r="G36" s="16"/>
      <c r="H36" s="16"/>
      <c r="I36" s="8" t="str">
        <f>IFERROR(VLOOKUP(H36,'SI Codes'!$A:$B,2,FALSE),"")</f>
        <v/>
      </c>
      <c r="J36" s="15"/>
      <c r="K36" s="10" t="str">
        <f>IFERROR(VLOOKUP(J36,Lists!$I$1:$J$21,2,FALSE),"")</f>
        <v/>
      </c>
      <c r="L36" s="15"/>
      <c r="M36" s="15"/>
      <c r="N36" s="15"/>
      <c r="O36" s="15"/>
      <c r="P36" s="15"/>
      <c r="Q36" s="17"/>
      <c r="R36" s="7" t="str">
        <f t="shared" ca="1" si="5"/>
        <v/>
      </c>
      <c r="S36" s="18"/>
      <c r="T36" s="18"/>
      <c r="U36" s="19"/>
      <c r="V36" s="15"/>
      <c r="W36" s="20"/>
      <c r="X36" s="20"/>
      <c r="Y36" s="15"/>
      <c r="Z36" s="21"/>
      <c r="AA36" s="6" t="str">
        <f t="shared" si="6"/>
        <v/>
      </c>
      <c r="AB36" s="7" t="str">
        <f t="shared" ca="1" si="7"/>
        <v/>
      </c>
      <c r="AC36" s="17"/>
      <c r="AD36" s="17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7" t="str">
        <f t="shared" si="8"/>
        <v>No</v>
      </c>
      <c r="AV36" s="15"/>
      <c r="AW36" s="17"/>
      <c r="AX36" s="17"/>
      <c r="AY36" s="15"/>
    </row>
    <row r="37" spans="1:51" x14ac:dyDescent="0.35">
      <c r="A37" s="9">
        <f t="shared" si="4"/>
        <v>36</v>
      </c>
      <c r="B37" s="14"/>
      <c r="C37" s="15"/>
      <c r="D37" s="16"/>
      <c r="E37" s="16"/>
      <c r="F37" s="16"/>
      <c r="G37" s="16"/>
      <c r="H37" s="16"/>
      <c r="I37" s="8" t="str">
        <f>IFERROR(VLOOKUP(H37,'SI Codes'!$A:$B,2,FALSE),"")</f>
        <v/>
      </c>
      <c r="J37" s="15"/>
      <c r="K37" s="10" t="str">
        <f>IFERROR(VLOOKUP(J37,Lists!$I$1:$J$21,2,FALSE),"")</f>
        <v/>
      </c>
      <c r="L37" s="15"/>
      <c r="M37" s="15"/>
      <c r="N37" s="15"/>
      <c r="O37" s="15"/>
      <c r="P37" s="15"/>
      <c r="Q37" s="17"/>
      <c r="R37" s="7" t="str">
        <f t="shared" ca="1" si="5"/>
        <v/>
      </c>
      <c r="S37" s="18"/>
      <c r="T37" s="18"/>
      <c r="U37" s="19"/>
      <c r="V37" s="15"/>
      <c r="W37" s="20"/>
      <c r="X37" s="20"/>
      <c r="Y37" s="15"/>
      <c r="Z37" s="21"/>
      <c r="AA37" s="6" t="str">
        <f t="shared" si="6"/>
        <v/>
      </c>
      <c r="AB37" s="7" t="str">
        <f t="shared" ca="1" si="7"/>
        <v/>
      </c>
      <c r="AC37" s="17"/>
      <c r="AD37" s="17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7" t="str">
        <f t="shared" si="8"/>
        <v>No</v>
      </c>
      <c r="AV37" s="15"/>
      <c r="AW37" s="17"/>
      <c r="AX37" s="17"/>
      <c r="AY37" s="15"/>
    </row>
    <row r="38" spans="1:51" x14ac:dyDescent="0.35">
      <c r="A38" s="9">
        <f t="shared" si="4"/>
        <v>37</v>
      </c>
      <c r="B38" s="14"/>
      <c r="C38" s="15"/>
      <c r="D38" s="16"/>
      <c r="E38" s="16"/>
      <c r="F38" s="16"/>
      <c r="G38" s="16"/>
      <c r="H38" s="16"/>
      <c r="I38" s="8" t="str">
        <f>IFERROR(VLOOKUP(H38,'SI Codes'!$A:$B,2,FALSE),"")</f>
        <v/>
      </c>
      <c r="J38" s="15"/>
      <c r="K38" s="10" t="str">
        <f>IFERROR(VLOOKUP(J38,Lists!$I$1:$J$21,2,FALSE),"")</f>
        <v/>
      </c>
      <c r="L38" s="15"/>
      <c r="M38" s="15"/>
      <c r="N38" s="15"/>
      <c r="O38" s="15"/>
      <c r="P38" s="15"/>
      <c r="Q38" s="17"/>
      <c r="R38" s="7" t="str">
        <f t="shared" ca="1" si="5"/>
        <v/>
      </c>
      <c r="S38" s="18"/>
      <c r="T38" s="18"/>
      <c r="U38" s="19"/>
      <c r="V38" s="15"/>
      <c r="W38" s="20"/>
      <c r="X38" s="20"/>
      <c r="Y38" s="15"/>
      <c r="Z38" s="21"/>
      <c r="AA38" s="6" t="str">
        <f t="shared" si="6"/>
        <v/>
      </c>
      <c r="AB38" s="7" t="str">
        <f t="shared" ca="1" si="7"/>
        <v/>
      </c>
      <c r="AC38" s="17"/>
      <c r="AD38" s="17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7" t="str">
        <f t="shared" si="8"/>
        <v>No</v>
      </c>
      <c r="AV38" s="15"/>
      <c r="AW38" s="17"/>
      <c r="AX38" s="17"/>
      <c r="AY38" s="15"/>
    </row>
    <row r="39" spans="1:51" x14ac:dyDescent="0.35">
      <c r="A39" s="9">
        <f t="shared" si="4"/>
        <v>38</v>
      </c>
      <c r="B39" s="14"/>
      <c r="C39" s="15"/>
      <c r="D39" s="16"/>
      <c r="E39" s="16"/>
      <c r="F39" s="16"/>
      <c r="G39" s="16"/>
      <c r="H39" s="16"/>
      <c r="I39" s="8" t="str">
        <f>IFERROR(VLOOKUP(H39,'SI Codes'!$A:$B,2,FALSE),"")</f>
        <v/>
      </c>
      <c r="J39" s="15"/>
      <c r="K39" s="10" t="str">
        <f>IFERROR(VLOOKUP(J39,Lists!$I$1:$J$21,2,FALSE),"")</f>
        <v/>
      </c>
      <c r="L39" s="15"/>
      <c r="M39" s="15"/>
      <c r="N39" s="15"/>
      <c r="O39" s="15"/>
      <c r="P39" s="15"/>
      <c r="Q39" s="17"/>
      <c r="R39" s="7" t="str">
        <f t="shared" ca="1" si="5"/>
        <v/>
      </c>
      <c r="S39" s="18"/>
      <c r="T39" s="18"/>
      <c r="U39" s="19"/>
      <c r="V39" s="15"/>
      <c r="W39" s="20"/>
      <c r="X39" s="20"/>
      <c r="Y39" s="15"/>
      <c r="Z39" s="21"/>
      <c r="AA39" s="6" t="str">
        <f t="shared" si="6"/>
        <v/>
      </c>
      <c r="AB39" s="7" t="str">
        <f t="shared" ca="1" si="7"/>
        <v/>
      </c>
      <c r="AC39" s="17"/>
      <c r="AD39" s="17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7" t="str">
        <f t="shared" si="8"/>
        <v>No</v>
      </c>
      <c r="AV39" s="15"/>
      <c r="AW39" s="17"/>
      <c r="AX39" s="17"/>
      <c r="AY39" s="15"/>
    </row>
    <row r="40" spans="1:51" x14ac:dyDescent="0.35">
      <c r="A40" s="9">
        <f t="shared" si="4"/>
        <v>39</v>
      </c>
      <c r="B40" s="14"/>
      <c r="C40" s="15"/>
      <c r="D40" s="16"/>
      <c r="E40" s="16"/>
      <c r="F40" s="16"/>
      <c r="G40" s="16"/>
      <c r="H40" s="16"/>
      <c r="I40" s="8" t="str">
        <f>IFERROR(VLOOKUP(H40,'SI Codes'!$A:$B,2,FALSE),"")</f>
        <v/>
      </c>
      <c r="J40" s="15"/>
      <c r="K40" s="10" t="str">
        <f>IFERROR(VLOOKUP(J40,Lists!$I$1:$J$21,2,FALSE),"")</f>
        <v/>
      </c>
      <c r="L40" s="15"/>
      <c r="M40" s="15"/>
      <c r="N40" s="15"/>
      <c r="O40" s="15"/>
      <c r="P40" s="15"/>
      <c r="Q40" s="17"/>
      <c r="R40" s="7" t="str">
        <f t="shared" ca="1" si="5"/>
        <v/>
      </c>
      <c r="S40" s="18"/>
      <c r="T40" s="18"/>
      <c r="U40" s="19"/>
      <c r="V40" s="15"/>
      <c r="W40" s="20"/>
      <c r="X40" s="20"/>
      <c r="Y40" s="15"/>
      <c r="Z40" s="21"/>
      <c r="AA40" s="6" t="str">
        <f t="shared" si="6"/>
        <v/>
      </c>
      <c r="AB40" s="7" t="str">
        <f t="shared" ca="1" si="7"/>
        <v/>
      </c>
      <c r="AC40" s="17"/>
      <c r="AD40" s="17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7" t="str">
        <f t="shared" si="8"/>
        <v>No</v>
      </c>
      <c r="AV40" s="15"/>
      <c r="AW40" s="17"/>
      <c r="AX40" s="17"/>
      <c r="AY40" s="15"/>
    </row>
    <row r="41" spans="1:51" x14ac:dyDescent="0.35">
      <c r="A41" s="9">
        <f t="shared" si="4"/>
        <v>40</v>
      </c>
      <c r="B41" s="14"/>
      <c r="C41" s="15"/>
      <c r="D41" s="16"/>
      <c r="E41" s="16"/>
      <c r="F41" s="16"/>
      <c r="G41" s="16"/>
      <c r="H41" s="16"/>
      <c r="I41" s="8" t="str">
        <f>IFERROR(VLOOKUP(H41,'SI Codes'!$A:$B,2,FALSE),"")</f>
        <v/>
      </c>
      <c r="J41" s="15"/>
      <c r="K41" s="10" t="str">
        <f>IFERROR(VLOOKUP(J41,Lists!$I$1:$J$21,2,FALSE),"")</f>
        <v/>
      </c>
      <c r="L41" s="15"/>
      <c r="M41" s="15"/>
      <c r="N41" s="15"/>
      <c r="O41" s="15"/>
      <c r="P41" s="15"/>
      <c r="Q41" s="17"/>
      <c r="R41" s="7" t="str">
        <f t="shared" ca="1" si="5"/>
        <v/>
      </c>
      <c r="S41" s="18"/>
      <c r="T41" s="18"/>
      <c r="U41" s="19"/>
      <c r="V41" s="15"/>
      <c r="W41" s="20"/>
      <c r="X41" s="20"/>
      <c r="Y41" s="15"/>
      <c r="Z41" s="21"/>
      <c r="AA41" s="6" t="str">
        <f t="shared" si="6"/>
        <v/>
      </c>
      <c r="AB41" s="7" t="str">
        <f t="shared" ca="1" si="7"/>
        <v/>
      </c>
      <c r="AC41" s="17"/>
      <c r="AD41" s="17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7" t="str">
        <f t="shared" si="8"/>
        <v>No</v>
      </c>
      <c r="AV41" s="15"/>
      <c r="AW41" s="17"/>
      <c r="AX41" s="17"/>
      <c r="AY41" s="15"/>
    </row>
    <row r="42" spans="1:51" x14ac:dyDescent="0.35">
      <c r="A42" s="9">
        <f t="shared" si="4"/>
        <v>41</v>
      </c>
      <c r="B42" s="14"/>
      <c r="C42" s="15"/>
      <c r="D42" s="16"/>
      <c r="E42" s="16"/>
      <c r="F42" s="16"/>
      <c r="G42" s="16"/>
      <c r="H42" s="16"/>
      <c r="I42" s="8" t="str">
        <f>IFERROR(VLOOKUP(H42,'SI Codes'!$A:$B,2,FALSE),"")</f>
        <v/>
      </c>
      <c r="J42" s="15"/>
      <c r="K42" s="10" t="str">
        <f>IFERROR(VLOOKUP(J42,Lists!$I$1:$J$21,2,FALSE),"")</f>
        <v/>
      </c>
      <c r="L42" s="15"/>
      <c r="M42" s="15"/>
      <c r="N42" s="15"/>
      <c r="O42" s="15"/>
      <c r="P42" s="15"/>
      <c r="Q42" s="17"/>
      <c r="R42" s="7" t="str">
        <f t="shared" ca="1" si="5"/>
        <v/>
      </c>
      <c r="S42" s="18"/>
      <c r="T42" s="18"/>
      <c r="U42" s="19"/>
      <c r="V42" s="15"/>
      <c r="W42" s="20"/>
      <c r="X42" s="20"/>
      <c r="Y42" s="15"/>
      <c r="Z42" s="21"/>
      <c r="AA42" s="6" t="str">
        <f t="shared" si="6"/>
        <v/>
      </c>
      <c r="AB42" s="7" t="str">
        <f t="shared" ca="1" si="7"/>
        <v/>
      </c>
      <c r="AC42" s="17"/>
      <c r="AD42" s="17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7" t="str">
        <f t="shared" si="8"/>
        <v>No</v>
      </c>
      <c r="AV42" s="15"/>
      <c r="AW42" s="17"/>
      <c r="AX42" s="17"/>
      <c r="AY42" s="15"/>
    </row>
    <row r="43" spans="1:51" x14ac:dyDescent="0.35">
      <c r="A43" s="9">
        <f t="shared" si="4"/>
        <v>42</v>
      </c>
      <c r="B43" s="14"/>
      <c r="C43" s="15"/>
      <c r="D43" s="16"/>
      <c r="E43" s="16"/>
      <c r="F43" s="16"/>
      <c r="G43" s="16"/>
      <c r="H43" s="16"/>
      <c r="I43" s="8" t="str">
        <f>IFERROR(VLOOKUP(H43,'SI Codes'!$A:$B,2,FALSE),"")</f>
        <v/>
      </c>
      <c r="J43" s="15"/>
      <c r="K43" s="10" t="str">
        <f>IFERROR(VLOOKUP(J43,Lists!$I$1:$J$21,2,FALSE),"")</f>
        <v/>
      </c>
      <c r="L43" s="15"/>
      <c r="M43" s="15"/>
      <c r="N43" s="15"/>
      <c r="O43" s="15"/>
      <c r="P43" s="15"/>
      <c r="Q43" s="17"/>
      <c r="R43" s="7" t="str">
        <f t="shared" ca="1" si="5"/>
        <v/>
      </c>
      <c r="S43" s="18"/>
      <c r="T43" s="18"/>
      <c r="U43" s="19"/>
      <c r="V43" s="15"/>
      <c r="W43" s="20"/>
      <c r="X43" s="20"/>
      <c r="Y43" s="15"/>
      <c r="Z43" s="21"/>
      <c r="AA43" s="6" t="str">
        <f t="shared" si="6"/>
        <v/>
      </c>
      <c r="AB43" s="7" t="str">
        <f t="shared" ca="1" si="7"/>
        <v/>
      </c>
      <c r="AC43" s="17"/>
      <c r="AD43" s="17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7" t="str">
        <f t="shared" si="8"/>
        <v>No</v>
      </c>
      <c r="AV43" s="15"/>
      <c r="AW43" s="17"/>
      <c r="AX43" s="17"/>
      <c r="AY43" s="15"/>
    </row>
    <row r="44" spans="1:51" x14ac:dyDescent="0.35">
      <c r="A44" s="9">
        <f t="shared" si="4"/>
        <v>43</v>
      </c>
      <c r="B44" s="14"/>
      <c r="C44" s="15"/>
      <c r="D44" s="16"/>
      <c r="E44" s="16"/>
      <c r="F44" s="16"/>
      <c r="G44" s="16"/>
      <c r="H44" s="16"/>
      <c r="I44" s="8" t="str">
        <f>IFERROR(VLOOKUP(H44,'SI Codes'!$A:$B,2,FALSE),"")</f>
        <v/>
      </c>
      <c r="J44" s="15"/>
      <c r="K44" s="10" t="str">
        <f>IFERROR(VLOOKUP(J44,Lists!$I$1:$J$21,2,FALSE),"")</f>
        <v/>
      </c>
      <c r="L44" s="15"/>
      <c r="M44" s="15"/>
      <c r="N44" s="15"/>
      <c r="O44" s="15"/>
      <c r="P44" s="15"/>
      <c r="Q44" s="17"/>
      <c r="R44" s="7" t="str">
        <f t="shared" ca="1" si="5"/>
        <v/>
      </c>
      <c r="S44" s="18"/>
      <c r="T44" s="18"/>
      <c r="U44" s="19"/>
      <c r="V44" s="15"/>
      <c r="W44" s="20"/>
      <c r="X44" s="20"/>
      <c r="Y44" s="15"/>
      <c r="Z44" s="21"/>
      <c r="AA44" s="6" t="str">
        <f t="shared" si="6"/>
        <v/>
      </c>
      <c r="AB44" s="7" t="str">
        <f t="shared" ca="1" si="7"/>
        <v/>
      </c>
      <c r="AC44" s="17"/>
      <c r="AD44" s="17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7" t="str">
        <f t="shared" si="8"/>
        <v>No</v>
      </c>
      <c r="AV44" s="15"/>
      <c r="AW44" s="17"/>
      <c r="AX44" s="17"/>
      <c r="AY44" s="15"/>
    </row>
    <row r="45" spans="1:51" x14ac:dyDescent="0.35">
      <c r="A45" s="9">
        <f t="shared" si="4"/>
        <v>44</v>
      </c>
      <c r="B45" s="14"/>
      <c r="C45" s="15"/>
      <c r="D45" s="16"/>
      <c r="E45" s="16"/>
      <c r="F45" s="16"/>
      <c r="G45" s="16"/>
      <c r="H45" s="16"/>
      <c r="I45" s="8" t="str">
        <f>IFERROR(VLOOKUP(H45,'SI Codes'!$A:$B,2,FALSE),"")</f>
        <v/>
      </c>
      <c r="J45" s="15"/>
      <c r="K45" s="10" t="str">
        <f>IFERROR(VLOOKUP(J45,Lists!$I$1:$J$21,2,FALSE),"")</f>
        <v/>
      </c>
      <c r="L45" s="15"/>
      <c r="M45" s="15"/>
      <c r="N45" s="15"/>
      <c r="O45" s="15"/>
      <c r="P45" s="15"/>
      <c r="Q45" s="17"/>
      <c r="R45" s="7" t="str">
        <f t="shared" ca="1" si="5"/>
        <v/>
      </c>
      <c r="S45" s="18"/>
      <c r="T45" s="18"/>
      <c r="U45" s="19"/>
      <c r="V45" s="15"/>
      <c r="W45" s="20"/>
      <c r="X45" s="20"/>
      <c r="Y45" s="15"/>
      <c r="Z45" s="21"/>
      <c r="AA45" s="6" t="str">
        <f t="shared" si="6"/>
        <v/>
      </c>
      <c r="AB45" s="7" t="str">
        <f t="shared" ca="1" si="7"/>
        <v/>
      </c>
      <c r="AC45" s="17"/>
      <c r="AD45" s="17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7" t="str">
        <f t="shared" si="8"/>
        <v>No</v>
      </c>
      <c r="AV45" s="15"/>
      <c r="AW45" s="17"/>
      <c r="AX45" s="17"/>
      <c r="AY45" s="15"/>
    </row>
    <row r="46" spans="1:51" x14ac:dyDescent="0.35">
      <c r="A46" s="9">
        <f t="shared" si="4"/>
        <v>45</v>
      </c>
      <c r="B46" s="14"/>
      <c r="C46" s="15"/>
      <c r="D46" s="16"/>
      <c r="E46" s="16"/>
      <c r="F46" s="16"/>
      <c r="G46" s="16"/>
      <c r="H46" s="16"/>
      <c r="I46" s="8" t="str">
        <f>IFERROR(VLOOKUP(H46,'SI Codes'!$A:$B,2,FALSE),"")</f>
        <v/>
      </c>
      <c r="J46" s="15"/>
      <c r="K46" s="10" t="str">
        <f>IFERROR(VLOOKUP(J46,Lists!$I$1:$J$21,2,FALSE),"")</f>
        <v/>
      </c>
      <c r="L46" s="15"/>
      <c r="M46" s="15"/>
      <c r="N46" s="15"/>
      <c r="O46" s="15"/>
      <c r="P46" s="15"/>
      <c r="Q46" s="17"/>
      <c r="R46" s="7" t="str">
        <f t="shared" ca="1" si="5"/>
        <v/>
      </c>
      <c r="S46" s="18"/>
      <c r="T46" s="18"/>
      <c r="U46" s="19"/>
      <c r="V46" s="15"/>
      <c r="W46" s="20"/>
      <c r="X46" s="20"/>
      <c r="Y46" s="15"/>
      <c r="Z46" s="21"/>
      <c r="AA46" s="6" t="str">
        <f t="shared" si="6"/>
        <v/>
      </c>
      <c r="AB46" s="7" t="str">
        <f t="shared" ca="1" si="7"/>
        <v/>
      </c>
      <c r="AC46" s="17"/>
      <c r="AD46" s="17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7" t="str">
        <f t="shared" si="8"/>
        <v>No</v>
      </c>
      <c r="AV46" s="15"/>
      <c r="AW46" s="17"/>
      <c r="AX46" s="17"/>
      <c r="AY46" s="15"/>
    </row>
    <row r="47" spans="1:51" x14ac:dyDescent="0.35">
      <c r="A47" s="9">
        <f t="shared" si="4"/>
        <v>46</v>
      </c>
      <c r="B47" s="14"/>
      <c r="C47" s="15"/>
      <c r="D47" s="16"/>
      <c r="E47" s="16"/>
      <c r="F47" s="16"/>
      <c r="G47" s="16"/>
      <c r="H47" s="16"/>
      <c r="I47" s="8" t="str">
        <f>IFERROR(VLOOKUP(H47,'SI Codes'!$A:$B,2,FALSE),"")</f>
        <v/>
      </c>
      <c r="J47" s="15"/>
      <c r="K47" s="10" t="str">
        <f>IFERROR(VLOOKUP(J47,Lists!$I$1:$J$21,2,FALSE),"")</f>
        <v/>
      </c>
      <c r="L47" s="15"/>
      <c r="M47" s="15"/>
      <c r="N47" s="15"/>
      <c r="O47" s="15"/>
      <c r="P47" s="15"/>
      <c r="Q47" s="17"/>
      <c r="R47" s="7" t="str">
        <f t="shared" ca="1" si="5"/>
        <v/>
      </c>
      <c r="S47" s="18"/>
      <c r="T47" s="18"/>
      <c r="U47" s="19"/>
      <c r="V47" s="15"/>
      <c r="W47" s="20"/>
      <c r="X47" s="20"/>
      <c r="Y47" s="15"/>
      <c r="Z47" s="21"/>
      <c r="AA47" s="6" t="str">
        <f t="shared" si="6"/>
        <v/>
      </c>
      <c r="AB47" s="7" t="str">
        <f t="shared" ca="1" si="7"/>
        <v/>
      </c>
      <c r="AC47" s="17"/>
      <c r="AD47" s="17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7" t="str">
        <f t="shared" si="8"/>
        <v>No</v>
      </c>
      <c r="AV47" s="15"/>
      <c r="AW47" s="17"/>
      <c r="AX47" s="17"/>
      <c r="AY47" s="15"/>
    </row>
    <row r="48" spans="1:51" x14ac:dyDescent="0.35">
      <c r="A48" s="9">
        <f t="shared" si="4"/>
        <v>47</v>
      </c>
      <c r="B48" s="14"/>
      <c r="C48" s="15"/>
      <c r="D48" s="16"/>
      <c r="E48" s="16"/>
      <c r="F48" s="16"/>
      <c r="G48" s="16"/>
      <c r="H48" s="16"/>
      <c r="I48" s="8" t="str">
        <f>IFERROR(VLOOKUP(H48,'SI Codes'!$A:$B,2,FALSE),"")</f>
        <v/>
      </c>
      <c r="J48" s="15"/>
      <c r="K48" s="10" t="str">
        <f>IFERROR(VLOOKUP(J48,Lists!$I$1:$J$21,2,FALSE),"")</f>
        <v/>
      </c>
      <c r="L48" s="15"/>
      <c r="M48" s="15"/>
      <c r="N48" s="15"/>
      <c r="O48" s="15"/>
      <c r="P48" s="15"/>
      <c r="Q48" s="17"/>
      <c r="R48" s="7" t="str">
        <f t="shared" ca="1" si="5"/>
        <v/>
      </c>
      <c r="S48" s="18"/>
      <c r="T48" s="18"/>
      <c r="U48" s="19"/>
      <c r="V48" s="15"/>
      <c r="W48" s="20"/>
      <c r="X48" s="20"/>
      <c r="Y48" s="15"/>
      <c r="Z48" s="21"/>
      <c r="AA48" s="6" t="str">
        <f t="shared" si="6"/>
        <v/>
      </c>
      <c r="AB48" s="7" t="str">
        <f t="shared" ca="1" si="7"/>
        <v/>
      </c>
      <c r="AC48" s="17"/>
      <c r="AD48" s="17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7" t="str">
        <f t="shared" si="8"/>
        <v>No</v>
      </c>
      <c r="AV48" s="15"/>
      <c r="AW48" s="17"/>
      <c r="AX48" s="17"/>
      <c r="AY48" s="15"/>
    </row>
    <row r="49" spans="1:51" x14ac:dyDescent="0.35">
      <c r="A49" s="9">
        <f t="shared" si="4"/>
        <v>48</v>
      </c>
      <c r="B49" s="14"/>
      <c r="C49" s="15"/>
      <c r="D49" s="16"/>
      <c r="E49" s="16"/>
      <c r="F49" s="16"/>
      <c r="G49" s="16"/>
      <c r="H49" s="16"/>
      <c r="I49" s="8" t="str">
        <f>IFERROR(VLOOKUP(H49,'SI Codes'!$A:$B,2,FALSE),"")</f>
        <v/>
      </c>
      <c r="J49" s="15"/>
      <c r="K49" s="10" t="str">
        <f>IFERROR(VLOOKUP(J49,Lists!$I$1:$J$21,2,FALSE),"")</f>
        <v/>
      </c>
      <c r="L49" s="15"/>
      <c r="M49" s="15"/>
      <c r="N49" s="15"/>
      <c r="O49" s="15"/>
      <c r="P49" s="15"/>
      <c r="Q49" s="17"/>
      <c r="R49" s="7" t="str">
        <f t="shared" ca="1" si="5"/>
        <v/>
      </c>
      <c r="S49" s="18"/>
      <c r="T49" s="18"/>
      <c r="U49" s="19"/>
      <c r="V49" s="15"/>
      <c r="W49" s="20"/>
      <c r="X49" s="20"/>
      <c r="Y49" s="15"/>
      <c r="Z49" s="21"/>
      <c r="AA49" s="6" t="str">
        <f t="shared" si="6"/>
        <v/>
      </c>
      <c r="AB49" s="7" t="str">
        <f t="shared" ca="1" si="7"/>
        <v/>
      </c>
      <c r="AC49" s="17"/>
      <c r="AD49" s="17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7" t="str">
        <f t="shared" si="8"/>
        <v>No</v>
      </c>
      <c r="AV49" s="15"/>
      <c r="AW49" s="17"/>
      <c r="AX49" s="17"/>
      <c r="AY49" s="15"/>
    </row>
    <row r="50" spans="1:51" x14ac:dyDescent="0.35">
      <c r="A50" s="9">
        <f t="shared" si="4"/>
        <v>49</v>
      </c>
      <c r="B50" s="14"/>
      <c r="C50" s="15"/>
      <c r="D50" s="16"/>
      <c r="E50" s="16"/>
      <c r="F50" s="16"/>
      <c r="G50" s="16"/>
      <c r="H50" s="16"/>
      <c r="I50" s="8" t="str">
        <f>IFERROR(VLOOKUP(H50,'SI Codes'!$A:$B,2,FALSE),"")</f>
        <v/>
      </c>
      <c r="J50" s="15"/>
      <c r="K50" s="10" t="str">
        <f>IFERROR(VLOOKUP(J50,Lists!$I$1:$J$21,2,FALSE),"")</f>
        <v/>
      </c>
      <c r="L50" s="15"/>
      <c r="M50" s="15"/>
      <c r="N50" s="15"/>
      <c r="O50" s="15"/>
      <c r="P50" s="15"/>
      <c r="Q50" s="17"/>
      <c r="R50" s="7" t="str">
        <f t="shared" ca="1" si="5"/>
        <v/>
      </c>
      <c r="S50" s="18"/>
      <c r="T50" s="18"/>
      <c r="U50" s="19"/>
      <c r="V50" s="15"/>
      <c r="W50" s="20"/>
      <c r="X50" s="20"/>
      <c r="Y50" s="15"/>
      <c r="Z50" s="21"/>
      <c r="AA50" s="6" t="str">
        <f t="shared" si="6"/>
        <v/>
      </c>
      <c r="AB50" s="7" t="str">
        <f t="shared" ca="1" si="7"/>
        <v/>
      </c>
      <c r="AC50" s="17"/>
      <c r="AD50" s="17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7" t="str">
        <f t="shared" si="8"/>
        <v>No</v>
      </c>
      <c r="AV50" s="15"/>
      <c r="AW50" s="17"/>
      <c r="AX50" s="17"/>
      <c r="AY50" s="15"/>
    </row>
    <row r="51" spans="1:51" x14ac:dyDescent="0.35">
      <c r="A51" s="9">
        <f t="shared" si="4"/>
        <v>50</v>
      </c>
      <c r="B51" s="14"/>
      <c r="C51" s="15"/>
      <c r="D51" s="16"/>
      <c r="E51" s="16"/>
      <c r="F51" s="16"/>
      <c r="G51" s="16"/>
      <c r="H51" s="16"/>
      <c r="I51" s="8" t="str">
        <f>IFERROR(VLOOKUP(H51,'SI Codes'!$A:$B,2,FALSE),"")</f>
        <v/>
      </c>
      <c r="J51" s="15"/>
      <c r="K51" s="10" t="str">
        <f>IFERROR(VLOOKUP(J51,Lists!$I$1:$J$21,2,FALSE),"")</f>
        <v/>
      </c>
      <c r="L51" s="15"/>
      <c r="M51" s="15"/>
      <c r="N51" s="15"/>
      <c r="O51" s="15"/>
      <c r="P51" s="15"/>
      <c r="Q51" s="17"/>
      <c r="R51" s="7" t="str">
        <f t="shared" ca="1" si="5"/>
        <v/>
      </c>
      <c r="S51" s="18"/>
      <c r="T51" s="18"/>
      <c r="U51" s="19"/>
      <c r="V51" s="15"/>
      <c r="W51" s="20"/>
      <c r="X51" s="20"/>
      <c r="Y51" s="15"/>
      <c r="Z51" s="21"/>
      <c r="AA51" s="6" t="str">
        <f t="shared" si="6"/>
        <v/>
      </c>
      <c r="AB51" s="7" t="str">
        <f t="shared" ca="1" si="7"/>
        <v/>
      </c>
      <c r="AC51" s="17"/>
      <c r="AD51" s="17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7" t="str">
        <f t="shared" si="8"/>
        <v>No</v>
      </c>
      <c r="AV51" s="15"/>
      <c r="AW51" s="17"/>
      <c r="AX51" s="17"/>
      <c r="AY51" s="15"/>
    </row>
    <row r="52" spans="1:51" x14ac:dyDescent="0.35">
      <c r="A52" s="9">
        <f t="shared" si="4"/>
        <v>51</v>
      </c>
      <c r="J52" s="22"/>
      <c r="K52" s="10" t="str">
        <f>IFERROR(VLOOKUP(J52,Lists!$I$1:$J$21,2,FALSE),"")</f>
        <v/>
      </c>
      <c r="L52" s="22"/>
      <c r="M52" s="22"/>
      <c r="N52" s="22"/>
      <c r="O52" s="22"/>
      <c r="P52" s="22"/>
      <c r="Q52" s="22"/>
      <c r="R52" s="22"/>
      <c r="S52" s="23"/>
      <c r="T52" s="23"/>
      <c r="U52" s="22"/>
      <c r="V52" s="22"/>
      <c r="W52" s="24"/>
      <c r="X52" s="24"/>
      <c r="Y52" s="22"/>
      <c r="Z52" s="21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7" t="str">
        <f t="shared" si="8"/>
        <v>No</v>
      </c>
      <c r="AV52" s="22"/>
      <c r="AW52" s="22"/>
      <c r="AX52" s="22"/>
      <c r="AY52" s="22"/>
    </row>
    <row r="53" spans="1:51" x14ac:dyDescent="0.35">
      <c r="A53" s="9">
        <f t="shared" si="4"/>
        <v>52</v>
      </c>
      <c r="J53" s="22"/>
      <c r="K53" s="10" t="str">
        <f>IFERROR(VLOOKUP(J53,Lists!$I$1:$J$21,2,FALSE),"")</f>
        <v/>
      </c>
      <c r="L53" s="22"/>
      <c r="M53" s="22"/>
      <c r="N53" s="22"/>
      <c r="O53" s="22"/>
      <c r="P53" s="22"/>
      <c r="Q53" s="22"/>
      <c r="R53" s="22"/>
      <c r="S53" s="23"/>
      <c r="T53" s="23"/>
      <c r="U53" s="22"/>
      <c r="V53" s="22"/>
      <c r="W53" s="24"/>
      <c r="X53" s="24"/>
      <c r="Y53" s="22"/>
      <c r="Z53" s="21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7" t="str">
        <f t="shared" si="8"/>
        <v>No</v>
      </c>
      <c r="AV53" s="22"/>
      <c r="AW53" s="22"/>
      <c r="AX53" s="22"/>
      <c r="AY53" s="22"/>
    </row>
    <row r="54" spans="1:51" x14ac:dyDescent="0.35">
      <c r="A54" s="9">
        <f t="shared" si="4"/>
        <v>53</v>
      </c>
      <c r="J54" s="22"/>
      <c r="K54" s="10" t="str">
        <f>IFERROR(VLOOKUP(J54,Lists!$I$1:$J$21,2,FALSE),"")</f>
        <v/>
      </c>
      <c r="L54" s="22"/>
      <c r="M54" s="22"/>
      <c r="N54" s="22"/>
      <c r="O54" s="22"/>
      <c r="P54" s="22"/>
      <c r="Q54" s="22"/>
      <c r="R54" s="22"/>
      <c r="S54" s="23"/>
      <c r="T54" s="23"/>
      <c r="U54" s="22"/>
      <c r="V54" s="22"/>
      <c r="W54" s="24"/>
      <c r="X54" s="24"/>
      <c r="Y54" s="22"/>
      <c r="Z54" s="21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7" t="str">
        <f t="shared" si="8"/>
        <v>No</v>
      </c>
      <c r="AV54" s="22"/>
      <c r="AW54" s="22"/>
      <c r="AX54" s="22"/>
      <c r="AY54" s="22"/>
    </row>
    <row r="55" spans="1:51" x14ac:dyDescent="0.35">
      <c r="A55" s="9">
        <f t="shared" si="4"/>
        <v>54</v>
      </c>
      <c r="J55" s="22"/>
      <c r="K55" s="10" t="str">
        <f>IFERROR(VLOOKUP(J55,Lists!$I$1:$J$21,2,FALSE),"")</f>
        <v/>
      </c>
      <c r="L55" s="22"/>
      <c r="M55" s="22"/>
      <c r="N55" s="22"/>
      <c r="O55" s="22"/>
      <c r="P55" s="22"/>
      <c r="Q55" s="22"/>
      <c r="R55" s="22"/>
      <c r="S55" s="23"/>
      <c r="T55" s="23"/>
      <c r="U55" s="22"/>
      <c r="V55" s="22"/>
      <c r="W55" s="24"/>
      <c r="X55" s="24"/>
      <c r="Y55" s="22"/>
      <c r="Z55" s="21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7" t="str">
        <f t="shared" si="8"/>
        <v>No</v>
      </c>
      <c r="AV55" s="22"/>
      <c r="AW55" s="22"/>
      <c r="AX55" s="22"/>
      <c r="AY55" s="22"/>
    </row>
    <row r="56" spans="1:51" x14ac:dyDescent="0.35">
      <c r="A56" s="9">
        <f t="shared" si="4"/>
        <v>55</v>
      </c>
      <c r="J56" s="22"/>
      <c r="K56" s="10" t="str">
        <f>IFERROR(VLOOKUP(J56,Lists!$I$1:$J$21,2,FALSE),"")</f>
        <v/>
      </c>
      <c r="L56" s="22"/>
      <c r="M56" s="22"/>
      <c r="N56" s="22"/>
      <c r="O56" s="22"/>
      <c r="P56" s="22"/>
      <c r="Q56" s="22"/>
      <c r="R56" s="22"/>
      <c r="S56" s="23"/>
      <c r="T56" s="23"/>
      <c r="U56" s="22"/>
      <c r="V56" s="22"/>
      <c r="W56" s="24"/>
      <c r="X56" s="24"/>
      <c r="Y56" s="22"/>
      <c r="Z56" s="21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7" t="str">
        <f t="shared" si="8"/>
        <v>No</v>
      </c>
      <c r="AV56" s="22"/>
      <c r="AW56" s="22"/>
      <c r="AX56" s="22"/>
      <c r="AY56" s="22"/>
    </row>
    <row r="57" spans="1:51" x14ac:dyDescent="0.35">
      <c r="A57" s="9">
        <f t="shared" si="4"/>
        <v>56</v>
      </c>
      <c r="J57" s="22"/>
      <c r="K57" s="10" t="str">
        <f>IFERROR(VLOOKUP(J57,Lists!$I$1:$J$21,2,FALSE),"")</f>
        <v/>
      </c>
      <c r="L57" s="22"/>
      <c r="M57" s="22"/>
      <c r="N57" s="22"/>
      <c r="O57" s="22"/>
      <c r="P57" s="22"/>
      <c r="Q57" s="22"/>
      <c r="R57" s="22"/>
      <c r="S57" s="23"/>
      <c r="T57" s="23"/>
      <c r="U57" s="22"/>
      <c r="V57" s="22"/>
      <c r="W57" s="24"/>
      <c r="X57" s="24"/>
      <c r="Y57" s="22"/>
      <c r="Z57" s="21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7" t="str">
        <f t="shared" si="8"/>
        <v>No</v>
      </c>
      <c r="AV57" s="22"/>
      <c r="AW57" s="22"/>
      <c r="AX57" s="22"/>
      <c r="AY57" s="22"/>
    </row>
    <row r="58" spans="1:51" x14ac:dyDescent="0.35">
      <c r="A58" s="9">
        <f t="shared" si="4"/>
        <v>57</v>
      </c>
      <c r="J58" s="22"/>
      <c r="K58" s="10" t="str">
        <f>IFERROR(VLOOKUP(J58,Lists!$I$1:$J$21,2,FALSE),"")</f>
        <v/>
      </c>
      <c r="L58" s="22"/>
      <c r="M58" s="22"/>
      <c r="N58" s="22"/>
      <c r="O58" s="22"/>
      <c r="P58" s="22"/>
      <c r="Q58" s="22"/>
      <c r="R58" s="22"/>
      <c r="S58" s="23"/>
      <c r="T58" s="23"/>
      <c r="U58" s="22"/>
      <c r="V58" s="22"/>
      <c r="W58" s="24"/>
      <c r="X58" s="24"/>
      <c r="Y58" s="22"/>
      <c r="Z58" s="21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7" t="str">
        <f t="shared" si="8"/>
        <v>No</v>
      </c>
      <c r="AV58" s="22"/>
      <c r="AW58" s="22"/>
      <c r="AX58" s="22"/>
      <c r="AY58" s="22"/>
    </row>
    <row r="59" spans="1:51" x14ac:dyDescent="0.35">
      <c r="A59" s="9">
        <f t="shared" si="4"/>
        <v>58</v>
      </c>
      <c r="J59" s="22"/>
      <c r="K59" s="10" t="str">
        <f>IFERROR(VLOOKUP(J59,Lists!$I$1:$J$21,2,FALSE),"")</f>
        <v/>
      </c>
      <c r="L59" s="22"/>
      <c r="M59" s="22"/>
      <c r="N59" s="22"/>
      <c r="O59" s="22"/>
      <c r="P59" s="22"/>
      <c r="Q59" s="22"/>
      <c r="R59" s="22"/>
      <c r="S59" s="23"/>
      <c r="T59" s="23"/>
      <c r="U59" s="22"/>
      <c r="V59" s="22"/>
      <c r="W59" s="24"/>
      <c r="X59" s="24"/>
      <c r="Y59" s="22"/>
      <c r="Z59" s="21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7" t="str">
        <f t="shared" si="8"/>
        <v>No</v>
      </c>
      <c r="AV59" s="22"/>
      <c r="AW59" s="22"/>
      <c r="AX59" s="22"/>
      <c r="AY59" s="22"/>
    </row>
    <row r="60" spans="1:51" x14ac:dyDescent="0.35">
      <c r="A60" s="9">
        <f t="shared" si="4"/>
        <v>59</v>
      </c>
      <c r="J60" s="22"/>
      <c r="K60" s="10" t="str">
        <f>IFERROR(VLOOKUP(J60,Lists!$I$1:$J$21,2,FALSE),"")</f>
        <v/>
      </c>
      <c r="L60" s="22"/>
      <c r="M60" s="22"/>
      <c r="N60" s="22"/>
      <c r="O60" s="22"/>
      <c r="P60" s="22"/>
      <c r="Q60" s="22"/>
      <c r="R60" s="22"/>
      <c r="S60" s="23"/>
      <c r="T60" s="23"/>
      <c r="U60" s="22"/>
      <c r="V60" s="22"/>
      <c r="W60" s="24"/>
      <c r="X60" s="24"/>
      <c r="Y60" s="22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7" t="str">
        <f t="shared" si="8"/>
        <v>No</v>
      </c>
      <c r="AV60" s="22"/>
      <c r="AW60" s="22"/>
      <c r="AX60" s="22"/>
      <c r="AY60" s="22"/>
    </row>
    <row r="61" spans="1:51" x14ac:dyDescent="0.35">
      <c r="A61" s="9">
        <f t="shared" si="4"/>
        <v>60</v>
      </c>
      <c r="J61" s="22"/>
      <c r="K61" s="10" t="str">
        <f>IFERROR(VLOOKUP(J61,Lists!$I$1:$J$21,2,FALSE),"")</f>
        <v/>
      </c>
      <c r="L61" s="22"/>
      <c r="M61" s="22"/>
      <c r="N61" s="22"/>
      <c r="O61" s="22"/>
      <c r="P61" s="22"/>
      <c r="Q61" s="22"/>
      <c r="R61" s="22"/>
      <c r="S61" s="23"/>
      <c r="T61" s="23"/>
      <c r="U61" s="22"/>
      <c r="V61" s="22"/>
      <c r="W61" s="24"/>
      <c r="X61" s="24"/>
      <c r="Y61" s="22"/>
      <c r="Z61" s="21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7" t="str">
        <f t="shared" si="8"/>
        <v>No</v>
      </c>
      <c r="AV61" s="22"/>
      <c r="AW61" s="22"/>
      <c r="AX61" s="22"/>
      <c r="AY61" s="22"/>
    </row>
    <row r="62" spans="1:51" x14ac:dyDescent="0.35">
      <c r="A62" s="9">
        <f t="shared" si="4"/>
        <v>61</v>
      </c>
      <c r="J62" s="22"/>
      <c r="K62" s="10" t="str">
        <f>IFERROR(VLOOKUP(J62,Lists!$I$1:$J$21,2,FALSE),"")</f>
        <v/>
      </c>
      <c r="L62" s="22"/>
      <c r="M62" s="22"/>
      <c r="N62" s="22"/>
      <c r="O62" s="22"/>
      <c r="P62" s="22"/>
      <c r="Q62" s="22"/>
      <c r="R62" s="22"/>
      <c r="S62" s="23"/>
      <c r="T62" s="23"/>
      <c r="U62" s="22"/>
      <c r="V62" s="22"/>
      <c r="W62" s="24"/>
      <c r="X62" s="24"/>
      <c r="Y62" s="22"/>
      <c r="Z62" s="21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7" t="str">
        <f t="shared" si="8"/>
        <v>No</v>
      </c>
      <c r="AV62" s="22"/>
      <c r="AW62" s="22"/>
      <c r="AX62" s="22"/>
      <c r="AY62" s="22"/>
    </row>
    <row r="63" spans="1:51" x14ac:dyDescent="0.35">
      <c r="A63" s="9">
        <f t="shared" si="4"/>
        <v>62</v>
      </c>
      <c r="J63" s="22"/>
      <c r="K63" s="10" t="str">
        <f>IFERROR(VLOOKUP(J63,Lists!$I$1:$J$21,2,FALSE),"")</f>
        <v/>
      </c>
      <c r="L63" s="22"/>
      <c r="M63" s="22"/>
      <c r="N63" s="22"/>
      <c r="O63" s="22"/>
      <c r="P63" s="22"/>
      <c r="Q63" s="22"/>
      <c r="R63" s="22"/>
      <c r="S63" s="23"/>
      <c r="T63" s="23"/>
      <c r="U63" s="22"/>
      <c r="V63" s="22"/>
      <c r="W63" s="24"/>
      <c r="X63" s="24"/>
      <c r="Y63" s="22"/>
      <c r="Z63" s="21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7" t="str">
        <f t="shared" si="8"/>
        <v>No</v>
      </c>
      <c r="AV63" s="22"/>
      <c r="AW63" s="22"/>
      <c r="AX63" s="22"/>
      <c r="AY63" s="22"/>
    </row>
    <row r="64" spans="1:51" x14ac:dyDescent="0.35">
      <c r="A64" s="9">
        <f t="shared" si="4"/>
        <v>63</v>
      </c>
      <c r="J64" s="22"/>
      <c r="K64" s="10" t="str">
        <f>IFERROR(VLOOKUP(J64,Lists!$I$1:$J$21,2,FALSE),"")</f>
        <v/>
      </c>
      <c r="L64" s="22"/>
      <c r="M64" s="22"/>
      <c r="N64" s="22"/>
      <c r="O64" s="22"/>
      <c r="P64" s="22"/>
      <c r="Q64" s="22"/>
      <c r="R64" s="22"/>
      <c r="S64" s="23"/>
      <c r="T64" s="23"/>
      <c r="U64" s="22"/>
      <c r="V64" s="22"/>
      <c r="W64" s="24"/>
      <c r="X64" s="24"/>
      <c r="Y64" s="22"/>
      <c r="Z64" s="21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7" t="str">
        <f t="shared" si="8"/>
        <v>No</v>
      </c>
      <c r="AV64" s="22"/>
      <c r="AW64" s="22"/>
      <c r="AX64" s="22"/>
      <c r="AY64" s="22"/>
    </row>
    <row r="65" spans="1:51" x14ac:dyDescent="0.35">
      <c r="A65" s="9">
        <f t="shared" si="4"/>
        <v>64</v>
      </c>
      <c r="J65" s="22"/>
      <c r="K65" s="10" t="str">
        <f>IFERROR(VLOOKUP(J65,Lists!$I$1:$J$21,2,FALSE),"")</f>
        <v/>
      </c>
      <c r="L65" s="22"/>
      <c r="M65" s="22"/>
      <c r="N65" s="22"/>
      <c r="O65" s="22"/>
      <c r="P65" s="22"/>
      <c r="Q65" s="22"/>
      <c r="R65" s="22"/>
      <c r="S65" s="23"/>
      <c r="T65" s="23"/>
      <c r="U65" s="22"/>
      <c r="V65" s="22"/>
      <c r="W65" s="24"/>
      <c r="X65" s="24"/>
      <c r="Y65" s="22"/>
      <c r="Z65" s="21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7" t="str">
        <f t="shared" si="8"/>
        <v>No</v>
      </c>
      <c r="AV65" s="22"/>
      <c r="AW65" s="22"/>
      <c r="AX65" s="22"/>
      <c r="AY65" s="22"/>
    </row>
    <row r="66" spans="1:51" x14ac:dyDescent="0.35">
      <c r="A66" s="9">
        <f t="shared" si="4"/>
        <v>65</v>
      </c>
      <c r="J66" s="22"/>
      <c r="K66" s="10" t="str">
        <f>IFERROR(VLOOKUP(J66,Lists!$I$1:$J$21,2,FALSE),"")</f>
        <v/>
      </c>
      <c r="L66" s="22"/>
      <c r="M66" s="22"/>
      <c r="N66" s="22"/>
      <c r="O66" s="22"/>
      <c r="P66" s="22"/>
      <c r="Q66" s="22"/>
      <c r="R66" s="22"/>
      <c r="S66" s="23"/>
      <c r="T66" s="23"/>
      <c r="U66" s="22"/>
      <c r="V66" s="22"/>
      <c r="W66" s="24"/>
      <c r="X66" s="24"/>
      <c r="Y66" s="22"/>
      <c r="Z66" s="21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7" t="str">
        <f t="shared" ref="AU66:AU97" si="9">IF(COUNTIF(AJ66:AT66,"Yes")=COLUMNS(AJ66:AT66),"Yes","No")</f>
        <v>No</v>
      </c>
      <c r="AV66" s="22"/>
      <c r="AW66" s="22"/>
      <c r="AX66" s="22"/>
      <c r="AY66" s="22"/>
    </row>
    <row r="67" spans="1:51" x14ac:dyDescent="0.35">
      <c r="A67" s="9">
        <f t="shared" ref="A67:A130" si="10">ROW()-1</f>
        <v>66</v>
      </c>
      <c r="J67" s="22"/>
      <c r="K67" s="10" t="str">
        <f>IFERROR(VLOOKUP(J67,Lists!$I$1:$J$21,2,FALSE),"")</f>
        <v/>
      </c>
      <c r="L67" s="22"/>
      <c r="M67" s="22"/>
      <c r="N67" s="22"/>
      <c r="O67" s="22"/>
      <c r="P67" s="22"/>
      <c r="Q67" s="22"/>
      <c r="R67" s="22"/>
      <c r="S67" s="23"/>
      <c r="T67" s="23"/>
      <c r="U67" s="22"/>
      <c r="V67" s="22"/>
      <c r="W67" s="24"/>
      <c r="X67" s="24"/>
      <c r="Y67" s="22"/>
      <c r="Z67" s="21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7" t="str">
        <f t="shared" si="9"/>
        <v>No</v>
      </c>
      <c r="AV67" s="22"/>
      <c r="AW67" s="22"/>
      <c r="AX67" s="22"/>
      <c r="AY67" s="22"/>
    </row>
    <row r="68" spans="1:51" x14ac:dyDescent="0.35">
      <c r="A68" s="9">
        <f t="shared" si="10"/>
        <v>67</v>
      </c>
      <c r="J68" s="22"/>
      <c r="K68" s="10" t="str">
        <f>IFERROR(VLOOKUP(J68,Lists!$I$1:$J$21,2,FALSE),"")</f>
        <v/>
      </c>
      <c r="L68" s="22"/>
      <c r="M68" s="22"/>
      <c r="N68" s="22"/>
      <c r="O68" s="22"/>
      <c r="P68" s="22"/>
      <c r="Q68" s="22"/>
      <c r="R68" s="22"/>
      <c r="S68" s="23"/>
      <c r="T68" s="23"/>
      <c r="U68" s="22"/>
      <c r="V68" s="22"/>
      <c r="W68" s="24"/>
      <c r="X68" s="24"/>
      <c r="Y68" s="22"/>
      <c r="Z68" s="21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7" t="str">
        <f t="shared" si="9"/>
        <v>No</v>
      </c>
      <c r="AV68" s="22"/>
      <c r="AW68" s="22"/>
      <c r="AX68" s="22"/>
      <c r="AY68" s="22"/>
    </row>
    <row r="69" spans="1:51" x14ac:dyDescent="0.35">
      <c r="A69" s="9">
        <f t="shared" si="10"/>
        <v>68</v>
      </c>
      <c r="J69" s="22"/>
      <c r="K69" s="10" t="str">
        <f>IFERROR(VLOOKUP(J69,Lists!$I$1:$J$21,2,FALSE),"")</f>
        <v/>
      </c>
      <c r="L69" s="22"/>
      <c r="M69" s="22"/>
      <c r="N69" s="22"/>
      <c r="O69" s="22"/>
      <c r="P69" s="22"/>
      <c r="Q69" s="22"/>
      <c r="R69" s="22"/>
      <c r="S69" s="23"/>
      <c r="T69" s="23"/>
      <c r="U69" s="22"/>
      <c r="V69" s="22"/>
      <c r="W69" s="24"/>
      <c r="X69" s="24"/>
      <c r="Y69" s="22"/>
      <c r="Z69" s="21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7" t="str">
        <f t="shared" si="9"/>
        <v>No</v>
      </c>
      <c r="AV69" s="22"/>
      <c r="AW69" s="22"/>
      <c r="AX69" s="22"/>
      <c r="AY69" s="22"/>
    </row>
    <row r="70" spans="1:51" x14ac:dyDescent="0.35">
      <c r="A70" s="9">
        <f t="shared" si="10"/>
        <v>69</v>
      </c>
      <c r="J70" s="22"/>
      <c r="K70" s="10" t="str">
        <f>IFERROR(VLOOKUP(J70,Lists!$I$1:$J$21,2,FALSE),"")</f>
        <v/>
      </c>
      <c r="L70" s="22"/>
      <c r="M70" s="22"/>
      <c r="N70" s="22"/>
      <c r="O70" s="22"/>
      <c r="P70" s="22"/>
      <c r="Q70" s="22"/>
      <c r="R70" s="22"/>
      <c r="S70" s="23"/>
      <c r="T70" s="23"/>
      <c r="U70" s="22"/>
      <c r="V70" s="22"/>
      <c r="W70" s="24"/>
      <c r="X70" s="24"/>
      <c r="Y70" s="22"/>
      <c r="Z70" s="21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7" t="str">
        <f t="shared" si="9"/>
        <v>No</v>
      </c>
      <c r="AV70" s="22"/>
      <c r="AW70" s="22"/>
      <c r="AX70" s="22"/>
      <c r="AY70" s="22"/>
    </row>
    <row r="71" spans="1:51" x14ac:dyDescent="0.35">
      <c r="A71" s="9">
        <f t="shared" si="10"/>
        <v>70</v>
      </c>
      <c r="J71" s="22"/>
      <c r="K71" s="10" t="str">
        <f>IFERROR(VLOOKUP(J71,Lists!$I$1:$J$21,2,FALSE),"")</f>
        <v/>
      </c>
      <c r="L71" s="22"/>
      <c r="M71" s="22"/>
      <c r="N71" s="22"/>
      <c r="O71" s="22"/>
      <c r="P71" s="22"/>
      <c r="Q71" s="22"/>
      <c r="R71" s="22"/>
      <c r="S71" s="23"/>
      <c r="T71" s="23"/>
      <c r="U71" s="22"/>
      <c r="V71" s="22"/>
      <c r="W71" s="24"/>
      <c r="X71" s="24"/>
      <c r="Y71" s="22"/>
      <c r="Z71" s="21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7" t="str">
        <f t="shared" si="9"/>
        <v>No</v>
      </c>
      <c r="AV71" s="22"/>
      <c r="AW71" s="22"/>
      <c r="AX71" s="22"/>
      <c r="AY71" s="22"/>
    </row>
    <row r="72" spans="1:51" x14ac:dyDescent="0.35">
      <c r="A72" s="9">
        <f t="shared" si="10"/>
        <v>71</v>
      </c>
      <c r="J72" s="22"/>
      <c r="K72" s="10" t="str">
        <f>IFERROR(VLOOKUP(J72,Lists!$I$1:$J$21,2,FALSE),"")</f>
        <v/>
      </c>
      <c r="L72" s="22"/>
      <c r="M72" s="22"/>
      <c r="N72" s="22"/>
      <c r="O72" s="22"/>
      <c r="P72" s="22"/>
      <c r="Q72" s="22"/>
      <c r="R72" s="22"/>
      <c r="S72" s="23"/>
      <c r="T72" s="23"/>
      <c r="U72" s="22"/>
      <c r="V72" s="22"/>
      <c r="W72" s="24"/>
      <c r="X72" s="24"/>
      <c r="Y72" s="22"/>
      <c r="Z72" s="21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7" t="str">
        <f t="shared" si="9"/>
        <v>No</v>
      </c>
      <c r="AV72" s="22"/>
      <c r="AW72" s="22"/>
      <c r="AX72" s="22"/>
      <c r="AY72" s="22"/>
    </row>
    <row r="73" spans="1:51" x14ac:dyDescent="0.35">
      <c r="A73" s="9">
        <f t="shared" si="10"/>
        <v>72</v>
      </c>
      <c r="J73" s="22"/>
      <c r="K73" s="10" t="str">
        <f>IFERROR(VLOOKUP(J73,Lists!$I$1:$J$21,2,FALSE),"")</f>
        <v/>
      </c>
      <c r="L73" s="22"/>
      <c r="M73" s="22"/>
      <c r="N73" s="22"/>
      <c r="O73" s="22"/>
      <c r="P73" s="22"/>
      <c r="Q73" s="22"/>
      <c r="R73" s="22"/>
      <c r="S73" s="23"/>
      <c r="T73" s="23"/>
      <c r="U73" s="22"/>
      <c r="V73" s="22"/>
      <c r="W73" s="24"/>
      <c r="X73" s="24"/>
      <c r="Y73" s="22"/>
      <c r="Z73" s="21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7" t="str">
        <f t="shared" si="9"/>
        <v>No</v>
      </c>
      <c r="AV73" s="22"/>
      <c r="AW73" s="22"/>
      <c r="AX73" s="22"/>
      <c r="AY73" s="22"/>
    </row>
    <row r="74" spans="1:51" x14ac:dyDescent="0.35">
      <c r="A74" s="9">
        <f t="shared" si="10"/>
        <v>73</v>
      </c>
      <c r="J74" s="22"/>
      <c r="K74" s="10" t="str">
        <f>IFERROR(VLOOKUP(J74,Lists!$I$1:$J$21,2,FALSE),"")</f>
        <v/>
      </c>
      <c r="L74" s="22"/>
      <c r="M74" s="22"/>
      <c r="N74" s="22"/>
      <c r="O74" s="22"/>
      <c r="P74" s="22"/>
      <c r="Q74" s="22"/>
      <c r="R74" s="22"/>
      <c r="S74" s="23"/>
      <c r="T74" s="23"/>
      <c r="U74" s="22"/>
      <c r="V74" s="22"/>
      <c r="W74" s="24"/>
      <c r="X74" s="24"/>
      <c r="Y74" s="22"/>
      <c r="Z74" s="21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7" t="str">
        <f t="shared" si="9"/>
        <v>No</v>
      </c>
      <c r="AV74" s="22"/>
      <c r="AW74" s="22"/>
      <c r="AX74" s="22"/>
      <c r="AY74" s="22"/>
    </row>
    <row r="75" spans="1:51" x14ac:dyDescent="0.35">
      <c r="A75" s="9">
        <f t="shared" si="10"/>
        <v>74</v>
      </c>
      <c r="J75" s="22"/>
      <c r="K75" s="10" t="str">
        <f>IFERROR(VLOOKUP(J75,Lists!$I$1:$J$21,2,FALSE),"")</f>
        <v/>
      </c>
      <c r="L75" s="22"/>
      <c r="M75" s="22"/>
      <c r="N75" s="22"/>
      <c r="O75" s="22"/>
      <c r="P75" s="22"/>
      <c r="Q75" s="22"/>
      <c r="R75" s="22"/>
      <c r="S75" s="23"/>
      <c r="T75" s="23"/>
      <c r="U75" s="22"/>
      <c r="V75" s="22"/>
      <c r="W75" s="24"/>
      <c r="X75" s="24"/>
      <c r="Y75" s="22"/>
      <c r="Z75" s="21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7" t="str">
        <f t="shared" si="9"/>
        <v>No</v>
      </c>
      <c r="AV75" s="22"/>
      <c r="AW75" s="22"/>
      <c r="AX75" s="22"/>
      <c r="AY75" s="22"/>
    </row>
    <row r="76" spans="1:51" x14ac:dyDescent="0.35">
      <c r="A76" s="9">
        <f t="shared" si="10"/>
        <v>75</v>
      </c>
      <c r="J76" s="22"/>
      <c r="K76" s="10" t="str">
        <f>IFERROR(VLOOKUP(J76,Lists!$I$1:$J$21,2,FALSE),"")</f>
        <v/>
      </c>
      <c r="L76" s="22"/>
      <c r="M76" s="22"/>
      <c r="N76" s="22"/>
      <c r="O76" s="22"/>
      <c r="P76" s="22"/>
      <c r="Q76" s="22"/>
      <c r="R76" s="22"/>
      <c r="S76" s="23"/>
      <c r="T76" s="23"/>
      <c r="U76" s="22"/>
      <c r="V76" s="22"/>
      <c r="W76" s="24"/>
      <c r="X76" s="24"/>
      <c r="Y76" s="22"/>
      <c r="Z76" s="21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7" t="str">
        <f t="shared" si="9"/>
        <v>No</v>
      </c>
      <c r="AV76" s="22"/>
      <c r="AW76" s="22"/>
      <c r="AX76" s="22"/>
      <c r="AY76" s="22"/>
    </row>
    <row r="77" spans="1:51" x14ac:dyDescent="0.35">
      <c r="A77" s="9">
        <f t="shared" si="10"/>
        <v>76</v>
      </c>
      <c r="J77" s="22"/>
      <c r="K77" s="10" t="str">
        <f>IFERROR(VLOOKUP(J77,Lists!$I$1:$J$21,2,FALSE),"")</f>
        <v/>
      </c>
      <c r="L77" s="22"/>
      <c r="M77" s="22"/>
      <c r="N77" s="22"/>
      <c r="O77" s="22"/>
      <c r="P77" s="22"/>
      <c r="Q77" s="22"/>
      <c r="R77" s="22"/>
      <c r="S77" s="23"/>
      <c r="T77" s="23"/>
      <c r="U77" s="22"/>
      <c r="V77" s="22"/>
      <c r="W77" s="24"/>
      <c r="X77" s="24"/>
      <c r="Y77" s="22"/>
      <c r="Z77" s="21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7" t="str">
        <f t="shared" si="9"/>
        <v>No</v>
      </c>
      <c r="AV77" s="22"/>
      <c r="AW77" s="22"/>
      <c r="AX77" s="22"/>
      <c r="AY77" s="22"/>
    </row>
    <row r="78" spans="1:51" x14ac:dyDescent="0.35">
      <c r="A78" s="9">
        <f t="shared" si="10"/>
        <v>77</v>
      </c>
      <c r="J78" s="22"/>
      <c r="K78" s="10" t="str">
        <f>IFERROR(VLOOKUP(J78,Lists!$I$1:$J$21,2,FALSE),"")</f>
        <v/>
      </c>
      <c r="L78" s="22"/>
      <c r="M78" s="22"/>
      <c r="N78" s="22"/>
      <c r="O78" s="22"/>
      <c r="P78" s="22"/>
      <c r="Q78" s="22"/>
      <c r="R78" s="22"/>
      <c r="S78" s="23"/>
      <c r="T78" s="23"/>
      <c r="U78" s="22"/>
      <c r="V78" s="22"/>
      <c r="W78" s="24"/>
      <c r="X78" s="24"/>
      <c r="Y78" s="22"/>
      <c r="Z78" s="21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7" t="str">
        <f t="shared" si="9"/>
        <v>No</v>
      </c>
      <c r="AV78" s="22"/>
      <c r="AW78" s="22"/>
      <c r="AX78" s="22"/>
      <c r="AY78" s="22"/>
    </row>
    <row r="79" spans="1:51" x14ac:dyDescent="0.35">
      <c r="A79" s="9">
        <f t="shared" si="10"/>
        <v>78</v>
      </c>
      <c r="J79" s="22"/>
      <c r="K79" s="10" t="str">
        <f>IFERROR(VLOOKUP(J79,Lists!$I$1:$J$21,2,FALSE),"")</f>
        <v/>
      </c>
      <c r="L79" s="22"/>
      <c r="M79" s="22"/>
      <c r="N79" s="22"/>
      <c r="O79" s="22"/>
      <c r="P79" s="22"/>
      <c r="Q79" s="22"/>
      <c r="R79" s="22"/>
      <c r="S79" s="23"/>
      <c r="T79" s="23"/>
      <c r="U79" s="22"/>
      <c r="V79" s="22"/>
      <c r="W79" s="24"/>
      <c r="X79" s="24"/>
      <c r="Y79" s="22"/>
      <c r="Z79" s="21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7" t="str">
        <f t="shared" si="9"/>
        <v>No</v>
      </c>
      <c r="AV79" s="22"/>
      <c r="AW79" s="22"/>
      <c r="AX79" s="22"/>
      <c r="AY79" s="22"/>
    </row>
    <row r="80" spans="1:51" x14ac:dyDescent="0.35">
      <c r="A80" s="9">
        <f t="shared" si="10"/>
        <v>79</v>
      </c>
      <c r="J80" s="22"/>
      <c r="K80" s="10" t="str">
        <f>IFERROR(VLOOKUP(J80,Lists!$I$1:$J$21,2,FALSE),"")</f>
        <v/>
      </c>
      <c r="L80" s="22"/>
      <c r="M80" s="22"/>
      <c r="N80" s="22"/>
      <c r="O80" s="22"/>
      <c r="P80" s="22"/>
      <c r="Q80" s="22"/>
      <c r="R80" s="22"/>
      <c r="S80" s="23"/>
      <c r="T80" s="23"/>
      <c r="U80" s="22"/>
      <c r="V80" s="22"/>
      <c r="W80" s="24"/>
      <c r="X80" s="24"/>
      <c r="Y80" s="22"/>
      <c r="Z80" s="21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7" t="str">
        <f t="shared" si="9"/>
        <v>No</v>
      </c>
      <c r="AV80" s="22"/>
      <c r="AW80" s="22"/>
      <c r="AX80" s="22"/>
      <c r="AY80" s="22"/>
    </row>
    <row r="81" spans="1:51" x14ac:dyDescent="0.35">
      <c r="A81" s="9">
        <f t="shared" si="10"/>
        <v>80</v>
      </c>
      <c r="J81" s="22"/>
      <c r="K81" s="10" t="str">
        <f>IFERROR(VLOOKUP(J81,Lists!$I$1:$J$21,2,FALSE),"")</f>
        <v/>
      </c>
      <c r="L81" s="22"/>
      <c r="M81" s="22"/>
      <c r="N81" s="22"/>
      <c r="O81" s="22"/>
      <c r="P81" s="22"/>
      <c r="Q81" s="22"/>
      <c r="R81" s="22"/>
      <c r="S81" s="23"/>
      <c r="T81" s="23"/>
      <c r="U81" s="22"/>
      <c r="V81" s="22"/>
      <c r="W81" s="24"/>
      <c r="X81" s="24"/>
      <c r="Y81" s="22"/>
      <c r="Z81" s="21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7" t="str">
        <f t="shared" si="9"/>
        <v>No</v>
      </c>
      <c r="AV81" s="22"/>
      <c r="AW81" s="22"/>
      <c r="AX81" s="22"/>
      <c r="AY81" s="22"/>
    </row>
    <row r="82" spans="1:51" x14ac:dyDescent="0.35">
      <c r="A82" s="9">
        <f t="shared" si="10"/>
        <v>81</v>
      </c>
      <c r="J82" s="22"/>
      <c r="K82" s="10" t="str">
        <f>IFERROR(VLOOKUP(J82,Lists!$I$1:$J$21,2,FALSE),"")</f>
        <v/>
      </c>
      <c r="L82" s="22"/>
      <c r="M82" s="22"/>
      <c r="N82" s="22"/>
      <c r="O82" s="22"/>
      <c r="P82" s="22"/>
      <c r="Q82" s="22"/>
      <c r="R82" s="22"/>
      <c r="S82" s="23"/>
      <c r="T82" s="23"/>
      <c r="U82" s="22"/>
      <c r="V82" s="22"/>
      <c r="W82" s="24"/>
      <c r="X82" s="24"/>
      <c r="Y82" s="22"/>
      <c r="Z82" s="21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7" t="str">
        <f t="shared" si="9"/>
        <v>No</v>
      </c>
      <c r="AV82" s="22"/>
      <c r="AW82" s="22"/>
      <c r="AX82" s="22"/>
      <c r="AY82" s="22"/>
    </row>
    <row r="83" spans="1:51" x14ac:dyDescent="0.35">
      <c r="A83" s="9">
        <f t="shared" si="10"/>
        <v>82</v>
      </c>
      <c r="J83" s="22"/>
      <c r="K83" s="10" t="str">
        <f>IFERROR(VLOOKUP(J83,Lists!$I$1:$J$21,2,FALSE),"")</f>
        <v/>
      </c>
      <c r="L83" s="22"/>
      <c r="M83" s="22"/>
      <c r="N83" s="22"/>
      <c r="O83" s="22"/>
      <c r="P83" s="22"/>
      <c r="Q83" s="22"/>
      <c r="R83" s="22"/>
      <c r="S83" s="23"/>
      <c r="T83" s="23"/>
      <c r="U83" s="22"/>
      <c r="V83" s="22"/>
      <c r="W83" s="24"/>
      <c r="X83" s="24"/>
      <c r="Y83" s="22"/>
      <c r="Z83" s="21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7" t="str">
        <f t="shared" si="9"/>
        <v>No</v>
      </c>
      <c r="AV83" s="22"/>
      <c r="AW83" s="22"/>
      <c r="AX83" s="22"/>
      <c r="AY83" s="22"/>
    </row>
    <row r="84" spans="1:51" x14ac:dyDescent="0.35">
      <c r="A84" s="9">
        <f t="shared" si="10"/>
        <v>83</v>
      </c>
      <c r="J84" s="22"/>
      <c r="K84" s="10" t="str">
        <f>IFERROR(VLOOKUP(J84,Lists!$I$1:$J$21,2,FALSE),"")</f>
        <v/>
      </c>
      <c r="L84" s="22"/>
      <c r="M84" s="22"/>
      <c r="N84" s="22"/>
      <c r="O84" s="22"/>
      <c r="P84" s="22"/>
      <c r="Q84" s="22"/>
      <c r="R84" s="22"/>
      <c r="S84" s="23"/>
      <c r="T84" s="23"/>
      <c r="U84" s="22"/>
      <c r="V84" s="22"/>
      <c r="W84" s="24"/>
      <c r="X84" s="24"/>
      <c r="Y84" s="22"/>
      <c r="Z84" s="21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7" t="str">
        <f t="shared" si="9"/>
        <v>No</v>
      </c>
      <c r="AV84" s="22"/>
      <c r="AW84" s="22"/>
      <c r="AX84" s="22"/>
      <c r="AY84" s="22"/>
    </row>
    <row r="85" spans="1:51" x14ac:dyDescent="0.35">
      <c r="A85" s="9">
        <f t="shared" si="10"/>
        <v>84</v>
      </c>
      <c r="J85" s="22"/>
      <c r="K85" s="10" t="str">
        <f>IFERROR(VLOOKUP(J85,Lists!$I$1:$J$21,2,FALSE),"")</f>
        <v/>
      </c>
      <c r="L85" s="22"/>
      <c r="M85" s="22"/>
      <c r="N85" s="22"/>
      <c r="O85" s="22"/>
      <c r="P85" s="22"/>
      <c r="Q85" s="22"/>
      <c r="R85" s="22"/>
      <c r="S85" s="23"/>
      <c r="T85" s="23"/>
      <c r="U85" s="22"/>
      <c r="V85" s="22"/>
      <c r="W85" s="24"/>
      <c r="X85" s="24"/>
      <c r="Y85" s="22"/>
      <c r="Z85" s="21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7" t="str">
        <f t="shared" si="9"/>
        <v>No</v>
      </c>
      <c r="AV85" s="22"/>
      <c r="AW85" s="22"/>
      <c r="AX85" s="22"/>
      <c r="AY85" s="22"/>
    </row>
    <row r="86" spans="1:51" x14ac:dyDescent="0.35">
      <c r="A86" s="9">
        <f t="shared" si="10"/>
        <v>85</v>
      </c>
      <c r="J86" s="22"/>
      <c r="K86" s="10" t="str">
        <f>IFERROR(VLOOKUP(J86,Lists!$I$1:$J$21,2,FALSE),"")</f>
        <v/>
      </c>
      <c r="L86" s="22"/>
      <c r="M86" s="22"/>
      <c r="N86" s="22"/>
      <c r="O86" s="22"/>
      <c r="P86" s="22"/>
      <c r="Q86" s="22"/>
      <c r="R86" s="22"/>
      <c r="S86" s="23"/>
      <c r="T86" s="23"/>
      <c r="U86" s="22"/>
      <c r="V86" s="22"/>
      <c r="W86" s="24"/>
      <c r="X86" s="24"/>
      <c r="Y86" s="22"/>
      <c r="Z86" s="21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7" t="str">
        <f t="shared" si="9"/>
        <v>No</v>
      </c>
      <c r="AV86" s="22"/>
      <c r="AW86" s="22"/>
      <c r="AX86" s="22"/>
      <c r="AY86" s="22"/>
    </row>
    <row r="87" spans="1:51" x14ac:dyDescent="0.35">
      <c r="A87" s="9">
        <f t="shared" si="10"/>
        <v>86</v>
      </c>
      <c r="J87" s="22"/>
      <c r="K87" s="10" t="str">
        <f>IFERROR(VLOOKUP(J87,Lists!$I$1:$J$21,2,FALSE),"")</f>
        <v/>
      </c>
      <c r="L87" s="22"/>
      <c r="M87" s="22"/>
      <c r="N87" s="22"/>
      <c r="O87" s="22"/>
      <c r="P87" s="22"/>
      <c r="Q87" s="22"/>
      <c r="R87" s="22"/>
      <c r="S87" s="23"/>
      <c r="T87" s="23"/>
      <c r="U87" s="22"/>
      <c r="V87" s="22"/>
      <c r="W87" s="24"/>
      <c r="X87" s="24"/>
      <c r="Y87" s="22"/>
      <c r="Z87" s="21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7" t="str">
        <f t="shared" si="9"/>
        <v>No</v>
      </c>
      <c r="AV87" s="22"/>
      <c r="AW87" s="22"/>
      <c r="AX87" s="22"/>
      <c r="AY87" s="22"/>
    </row>
    <row r="88" spans="1:51" x14ac:dyDescent="0.35">
      <c r="A88" s="9">
        <f t="shared" si="10"/>
        <v>87</v>
      </c>
      <c r="J88" s="22"/>
      <c r="K88" s="10" t="str">
        <f>IFERROR(VLOOKUP(J88,Lists!$I$1:$J$21,2,FALSE),"")</f>
        <v/>
      </c>
      <c r="L88" s="22"/>
      <c r="M88" s="22"/>
      <c r="N88" s="22"/>
      <c r="O88" s="22"/>
      <c r="P88" s="22"/>
      <c r="Q88" s="22"/>
      <c r="R88" s="22"/>
      <c r="S88" s="23"/>
      <c r="T88" s="23"/>
      <c r="U88" s="22"/>
      <c r="V88" s="22"/>
      <c r="W88" s="24"/>
      <c r="X88" s="24"/>
      <c r="Y88" s="22"/>
      <c r="Z88" s="21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7" t="str">
        <f t="shared" si="9"/>
        <v>No</v>
      </c>
      <c r="AV88" s="22"/>
      <c r="AW88" s="22"/>
      <c r="AX88" s="22"/>
      <c r="AY88" s="22"/>
    </row>
    <row r="89" spans="1:51" x14ac:dyDescent="0.35">
      <c r="A89" s="9">
        <f t="shared" si="10"/>
        <v>88</v>
      </c>
      <c r="J89" s="22"/>
      <c r="K89" s="10" t="str">
        <f>IFERROR(VLOOKUP(J89,Lists!$I$1:$J$21,2,FALSE),"")</f>
        <v/>
      </c>
      <c r="L89" s="22"/>
      <c r="M89" s="22"/>
      <c r="N89" s="22"/>
      <c r="O89" s="22"/>
      <c r="P89" s="22"/>
      <c r="Q89" s="22"/>
      <c r="R89" s="22"/>
      <c r="S89" s="23"/>
      <c r="T89" s="23"/>
      <c r="U89" s="22"/>
      <c r="V89" s="22"/>
      <c r="W89" s="24"/>
      <c r="X89" s="24"/>
      <c r="Y89" s="22"/>
      <c r="Z89" s="21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7" t="str">
        <f t="shared" si="9"/>
        <v>No</v>
      </c>
      <c r="AV89" s="22"/>
      <c r="AW89" s="22"/>
      <c r="AX89" s="22"/>
      <c r="AY89" s="22"/>
    </row>
    <row r="90" spans="1:51" x14ac:dyDescent="0.35">
      <c r="A90" s="9">
        <f t="shared" si="10"/>
        <v>89</v>
      </c>
      <c r="J90" s="22"/>
      <c r="K90" s="10" t="str">
        <f>IFERROR(VLOOKUP(J90,Lists!$I$1:$J$21,2,FALSE),"")</f>
        <v/>
      </c>
      <c r="L90" s="22"/>
      <c r="M90" s="22"/>
      <c r="N90" s="22"/>
      <c r="O90" s="22"/>
      <c r="P90" s="22"/>
      <c r="Q90" s="22"/>
      <c r="R90" s="22"/>
      <c r="S90" s="23"/>
      <c r="T90" s="23"/>
      <c r="U90" s="22"/>
      <c r="V90" s="22"/>
      <c r="W90" s="24"/>
      <c r="X90" s="24"/>
      <c r="Y90" s="22"/>
      <c r="Z90" s="21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7" t="str">
        <f t="shared" si="9"/>
        <v>No</v>
      </c>
      <c r="AV90" s="22"/>
      <c r="AW90" s="22"/>
      <c r="AX90" s="22"/>
      <c r="AY90" s="22"/>
    </row>
    <row r="91" spans="1:51" x14ac:dyDescent="0.35">
      <c r="A91" s="9">
        <f t="shared" si="10"/>
        <v>90</v>
      </c>
      <c r="J91" s="22"/>
      <c r="K91" s="10" t="str">
        <f>IFERROR(VLOOKUP(J91,Lists!$I$1:$J$21,2,FALSE),"")</f>
        <v/>
      </c>
      <c r="L91" s="22"/>
      <c r="M91" s="22"/>
      <c r="N91" s="22"/>
      <c r="O91" s="22"/>
      <c r="P91" s="22"/>
      <c r="Q91" s="22"/>
      <c r="R91" s="22"/>
      <c r="S91" s="23"/>
      <c r="T91" s="23"/>
      <c r="U91" s="22"/>
      <c r="V91" s="22"/>
      <c r="W91" s="24"/>
      <c r="X91" s="24"/>
      <c r="Y91" s="22"/>
      <c r="Z91" s="21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7" t="str">
        <f t="shared" si="9"/>
        <v>No</v>
      </c>
      <c r="AV91" s="22"/>
      <c r="AW91" s="22"/>
      <c r="AX91" s="22"/>
      <c r="AY91" s="22"/>
    </row>
    <row r="92" spans="1:51" x14ac:dyDescent="0.35">
      <c r="A92" s="9">
        <f t="shared" si="10"/>
        <v>91</v>
      </c>
      <c r="J92" s="22"/>
      <c r="K92" s="10" t="str">
        <f>IFERROR(VLOOKUP(J92,Lists!$I$1:$J$21,2,FALSE),"")</f>
        <v/>
      </c>
      <c r="L92" s="22"/>
      <c r="M92" s="22"/>
      <c r="N92" s="22"/>
      <c r="O92" s="22"/>
      <c r="P92" s="22"/>
      <c r="Q92" s="22"/>
      <c r="R92" s="22"/>
      <c r="S92" s="23"/>
      <c r="T92" s="23"/>
      <c r="U92" s="22"/>
      <c r="V92" s="22"/>
      <c r="W92" s="24"/>
      <c r="X92" s="24"/>
      <c r="Y92" s="22"/>
      <c r="Z92" s="21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7" t="str">
        <f t="shared" si="9"/>
        <v>No</v>
      </c>
      <c r="AV92" s="22"/>
      <c r="AW92" s="22"/>
      <c r="AX92" s="22"/>
      <c r="AY92" s="22"/>
    </row>
    <row r="93" spans="1:51" x14ac:dyDescent="0.35">
      <c r="A93" s="9">
        <f t="shared" si="10"/>
        <v>92</v>
      </c>
      <c r="J93" s="22"/>
      <c r="K93" s="10" t="str">
        <f>IFERROR(VLOOKUP(J93,Lists!$I$1:$J$21,2,FALSE),"")</f>
        <v/>
      </c>
      <c r="L93" s="22"/>
      <c r="M93" s="22"/>
      <c r="N93" s="22"/>
      <c r="O93" s="22"/>
      <c r="P93" s="22"/>
      <c r="Q93" s="22"/>
      <c r="R93" s="22"/>
      <c r="S93" s="23"/>
      <c r="T93" s="23"/>
      <c r="U93" s="22"/>
      <c r="V93" s="22"/>
      <c r="W93" s="24"/>
      <c r="X93" s="24"/>
      <c r="Y93" s="22"/>
      <c r="Z93" s="21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7" t="str">
        <f t="shared" si="9"/>
        <v>No</v>
      </c>
      <c r="AV93" s="22"/>
      <c r="AW93" s="22"/>
      <c r="AX93" s="22"/>
      <c r="AY93" s="22"/>
    </row>
    <row r="94" spans="1:51" x14ac:dyDescent="0.35">
      <c r="A94" s="9">
        <f t="shared" si="10"/>
        <v>93</v>
      </c>
      <c r="J94" s="22"/>
      <c r="K94" s="10" t="str">
        <f>IFERROR(VLOOKUP(J94,Lists!$I$1:$J$21,2,FALSE),"")</f>
        <v/>
      </c>
      <c r="L94" s="22"/>
      <c r="M94" s="22"/>
      <c r="N94" s="22"/>
      <c r="O94" s="22"/>
      <c r="P94" s="22"/>
      <c r="Q94" s="22"/>
      <c r="R94" s="22"/>
      <c r="S94" s="23"/>
      <c r="T94" s="23"/>
      <c r="U94" s="22"/>
      <c r="V94" s="22"/>
      <c r="W94" s="24"/>
      <c r="X94" s="24"/>
      <c r="Y94" s="22"/>
      <c r="Z94" s="21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7" t="str">
        <f t="shared" si="9"/>
        <v>No</v>
      </c>
      <c r="AV94" s="22"/>
      <c r="AW94" s="22"/>
      <c r="AX94" s="22"/>
      <c r="AY94" s="22"/>
    </row>
    <row r="95" spans="1:51" x14ac:dyDescent="0.35">
      <c r="A95" s="9">
        <f t="shared" si="10"/>
        <v>94</v>
      </c>
      <c r="J95" s="22"/>
      <c r="K95" s="10" t="str">
        <f>IFERROR(VLOOKUP(J95,Lists!$I$1:$J$21,2,FALSE),"")</f>
        <v/>
      </c>
      <c r="L95" s="22"/>
      <c r="M95" s="22"/>
      <c r="N95" s="22"/>
      <c r="O95" s="22"/>
      <c r="P95" s="22"/>
      <c r="Q95" s="22"/>
      <c r="R95" s="22"/>
      <c r="S95" s="23"/>
      <c r="T95" s="23"/>
      <c r="U95" s="22"/>
      <c r="V95" s="22"/>
      <c r="W95" s="24"/>
      <c r="X95" s="24"/>
      <c r="Y95" s="22"/>
      <c r="Z95" s="21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7" t="str">
        <f t="shared" si="9"/>
        <v>No</v>
      </c>
      <c r="AV95" s="22"/>
      <c r="AW95" s="22"/>
      <c r="AX95" s="22"/>
      <c r="AY95" s="22"/>
    </row>
    <row r="96" spans="1:51" x14ac:dyDescent="0.35">
      <c r="A96" s="9">
        <f t="shared" si="10"/>
        <v>95</v>
      </c>
      <c r="J96" s="22"/>
      <c r="K96" s="10" t="str">
        <f>IFERROR(VLOOKUP(J96,Lists!$I$1:$J$21,2,FALSE),"")</f>
        <v/>
      </c>
      <c r="L96" s="22"/>
      <c r="M96" s="22"/>
      <c r="N96" s="22"/>
      <c r="O96" s="22"/>
      <c r="P96" s="22"/>
      <c r="Q96" s="22"/>
      <c r="R96" s="22"/>
      <c r="S96" s="23"/>
      <c r="T96" s="23"/>
      <c r="U96" s="22"/>
      <c r="V96" s="22"/>
      <c r="W96" s="24"/>
      <c r="X96" s="24"/>
      <c r="Y96" s="22"/>
      <c r="Z96" s="21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7" t="str">
        <f t="shared" si="9"/>
        <v>No</v>
      </c>
      <c r="AV96" s="22"/>
      <c r="AW96" s="22"/>
      <c r="AX96" s="22"/>
      <c r="AY96" s="22"/>
    </row>
    <row r="97" spans="1:51" x14ac:dyDescent="0.35">
      <c r="A97" s="9">
        <f t="shared" si="10"/>
        <v>96</v>
      </c>
      <c r="J97" s="22"/>
      <c r="K97" s="10" t="str">
        <f>IFERROR(VLOOKUP(J97,Lists!$I$1:$J$21,2,FALSE),"")</f>
        <v/>
      </c>
      <c r="L97" s="22"/>
      <c r="M97" s="22"/>
      <c r="N97" s="22"/>
      <c r="O97" s="22"/>
      <c r="P97" s="22"/>
      <c r="Q97" s="22"/>
      <c r="R97" s="22"/>
      <c r="S97" s="23"/>
      <c r="T97" s="23"/>
      <c r="U97" s="22"/>
      <c r="V97" s="22"/>
      <c r="W97" s="24"/>
      <c r="X97" s="24"/>
      <c r="Y97" s="22"/>
      <c r="Z97" s="21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7" t="str">
        <f t="shared" si="9"/>
        <v>No</v>
      </c>
      <c r="AV97" s="22"/>
      <c r="AW97" s="22"/>
      <c r="AX97" s="22"/>
      <c r="AY97" s="22"/>
    </row>
    <row r="98" spans="1:51" x14ac:dyDescent="0.35">
      <c r="A98" s="9">
        <f t="shared" si="10"/>
        <v>97</v>
      </c>
      <c r="J98" s="22"/>
      <c r="K98" s="10" t="str">
        <f>IFERROR(VLOOKUP(J98,Lists!$I$1:$J$21,2,FALSE),"")</f>
        <v/>
      </c>
      <c r="L98" s="22"/>
      <c r="M98" s="22"/>
      <c r="N98" s="22"/>
      <c r="O98" s="22"/>
      <c r="P98" s="22"/>
      <c r="Q98" s="22"/>
      <c r="R98" s="22"/>
      <c r="S98" s="23"/>
      <c r="T98" s="23"/>
      <c r="U98" s="22"/>
      <c r="V98" s="22"/>
      <c r="W98" s="24"/>
      <c r="X98" s="24"/>
      <c r="Y98" s="22"/>
      <c r="Z98" s="21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7" t="str">
        <f t="shared" ref="AU98:AU129" si="11">IF(COUNTIF(AJ98:AT98,"Yes")=COLUMNS(AJ98:AT98),"Yes","No")</f>
        <v>No</v>
      </c>
      <c r="AV98" s="22"/>
      <c r="AW98" s="22"/>
      <c r="AX98" s="22"/>
      <c r="AY98" s="22"/>
    </row>
    <row r="99" spans="1:51" x14ac:dyDescent="0.35">
      <c r="A99" s="9">
        <f t="shared" si="10"/>
        <v>98</v>
      </c>
      <c r="J99" s="22"/>
      <c r="K99" s="10" t="str">
        <f>IFERROR(VLOOKUP(J99,Lists!$I$1:$J$21,2,FALSE),"")</f>
        <v/>
      </c>
      <c r="L99" s="22"/>
      <c r="M99" s="22"/>
      <c r="N99" s="22"/>
      <c r="O99" s="22"/>
      <c r="P99" s="22"/>
      <c r="Q99" s="22"/>
      <c r="R99" s="22"/>
      <c r="S99" s="23"/>
      <c r="T99" s="23"/>
      <c r="U99" s="22"/>
      <c r="V99" s="22"/>
      <c r="W99" s="24"/>
      <c r="X99" s="24"/>
      <c r="Y99" s="22"/>
      <c r="Z99" s="21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7" t="str">
        <f t="shared" si="11"/>
        <v>No</v>
      </c>
      <c r="AV99" s="22"/>
      <c r="AW99" s="22"/>
      <c r="AX99" s="22"/>
      <c r="AY99" s="22"/>
    </row>
    <row r="100" spans="1:51" x14ac:dyDescent="0.35">
      <c r="A100" s="9">
        <f t="shared" si="10"/>
        <v>99</v>
      </c>
      <c r="J100" s="22"/>
      <c r="K100" s="10" t="str">
        <f>IFERROR(VLOOKUP(J100,Lists!$I$1:$J$21,2,FALSE),"")</f>
        <v/>
      </c>
      <c r="L100" s="22"/>
      <c r="M100" s="22"/>
      <c r="N100" s="22"/>
      <c r="O100" s="22"/>
      <c r="P100" s="22"/>
      <c r="Q100" s="22"/>
      <c r="R100" s="22"/>
      <c r="S100" s="23"/>
      <c r="T100" s="23"/>
      <c r="U100" s="22"/>
      <c r="V100" s="22"/>
      <c r="W100" s="24"/>
      <c r="X100" s="24"/>
      <c r="Y100" s="22"/>
      <c r="Z100" s="21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7" t="str">
        <f t="shared" si="11"/>
        <v>No</v>
      </c>
      <c r="AV100" s="22"/>
      <c r="AW100" s="22"/>
      <c r="AX100" s="22"/>
      <c r="AY100" s="22"/>
    </row>
    <row r="101" spans="1:51" x14ac:dyDescent="0.35">
      <c r="A101" s="9">
        <f t="shared" si="10"/>
        <v>100</v>
      </c>
      <c r="J101" s="22"/>
      <c r="K101" s="10" t="str">
        <f>IFERROR(VLOOKUP(J101,Lists!$I$1:$J$21,2,FALSE),"")</f>
        <v/>
      </c>
      <c r="L101" s="22"/>
      <c r="M101" s="22"/>
      <c r="N101" s="22"/>
      <c r="O101" s="22"/>
      <c r="P101" s="22"/>
      <c r="Q101" s="22"/>
      <c r="R101" s="22"/>
      <c r="S101" s="23"/>
      <c r="T101" s="23"/>
      <c r="U101" s="22"/>
      <c r="V101" s="22"/>
      <c r="W101" s="24"/>
      <c r="X101" s="24"/>
      <c r="Y101" s="22"/>
      <c r="Z101" s="21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7" t="str">
        <f t="shared" si="11"/>
        <v>No</v>
      </c>
      <c r="AV101" s="22"/>
      <c r="AW101" s="22"/>
      <c r="AX101" s="22"/>
      <c r="AY101" s="22"/>
    </row>
    <row r="102" spans="1:51" x14ac:dyDescent="0.35">
      <c r="A102" s="9">
        <f t="shared" si="10"/>
        <v>101</v>
      </c>
      <c r="J102" s="22"/>
      <c r="K102" s="10" t="str">
        <f>IFERROR(VLOOKUP(J102,Lists!$I$1:$J$21,2,FALSE),"")</f>
        <v/>
      </c>
      <c r="L102" s="22"/>
      <c r="M102" s="22"/>
      <c r="N102" s="22"/>
      <c r="O102" s="22"/>
      <c r="P102" s="22"/>
      <c r="Q102" s="22"/>
      <c r="R102" s="22"/>
      <c r="S102" s="23"/>
      <c r="T102" s="23"/>
      <c r="U102" s="22"/>
      <c r="V102" s="22"/>
      <c r="W102" s="24"/>
      <c r="X102" s="24"/>
      <c r="Y102" s="22"/>
      <c r="Z102" s="21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7" t="str">
        <f t="shared" si="11"/>
        <v>No</v>
      </c>
      <c r="AV102" s="22"/>
      <c r="AW102" s="22"/>
      <c r="AX102" s="22"/>
      <c r="AY102" s="22"/>
    </row>
    <row r="103" spans="1:51" x14ac:dyDescent="0.35">
      <c r="A103" s="9">
        <f t="shared" si="10"/>
        <v>102</v>
      </c>
      <c r="J103" s="22"/>
      <c r="K103" s="10" t="str">
        <f>IFERROR(VLOOKUP(J103,Lists!$I$1:$J$21,2,FALSE),"")</f>
        <v/>
      </c>
      <c r="L103" s="22"/>
      <c r="M103" s="22"/>
      <c r="N103" s="22"/>
      <c r="O103" s="22"/>
      <c r="P103" s="22"/>
      <c r="Q103" s="22"/>
      <c r="R103" s="22"/>
      <c r="S103" s="23"/>
      <c r="T103" s="23"/>
      <c r="U103" s="22"/>
      <c r="V103" s="22"/>
      <c r="W103" s="24"/>
      <c r="X103" s="24"/>
      <c r="Y103" s="22"/>
      <c r="Z103" s="21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7" t="str">
        <f t="shared" si="11"/>
        <v>No</v>
      </c>
      <c r="AV103" s="22"/>
      <c r="AW103" s="22"/>
      <c r="AX103" s="22"/>
      <c r="AY103" s="22"/>
    </row>
    <row r="104" spans="1:51" x14ac:dyDescent="0.35">
      <c r="A104" s="9">
        <f t="shared" si="10"/>
        <v>103</v>
      </c>
      <c r="J104" s="22"/>
      <c r="K104" s="10" t="str">
        <f>IFERROR(VLOOKUP(J104,Lists!$I$1:$J$21,2,FALSE),"")</f>
        <v/>
      </c>
      <c r="L104" s="22"/>
      <c r="M104" s="22"/>
      <c r="N104" s="22"/>
      <c r="O104" s="22"/>
      <c r="P104" s="22"/>
      <c r="Q104" s="22"/>
      <c r="R104" s="22"/>
      <c r="S104" s="23"/>
      <c r="T104" s="23"/>
      <c r="U104" s="22"/>
      <c r="V104" s="22"/>
      <c r="W104" s="24"/>
      <c r="X104" s="24"/>
      <c r="Y104" s="22"/>
      <c r="Z104" s="21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7" t="str">
        <f t="shared" si="11"/>
        <v>No</v>
      </c>
      <c r="AV104" s="22"/>
      <c r="AW104" s="22"/>
      <c r="AX104" s="22"/>
      <c r="AY104" s="22"/>
    </row>
    <row r="105" spans="1:51" x14ac:dyDescent="0.35">
      <c r="A105" s="9">
        <f t="shared" si="10"/>
        <v>104</v>
      </c>
      <c r="J105" s="22"/>
      <c r="K105" s="10" t="str">
        <f>IFERROR(VLOOKUP(J105,Lists!$I$1:$J$21,2,FALSE),"")</f>
        <v/>
      </c>
      <c r="L105" s="22"/>
      <c r="M105" s="22"/>
      <c r="N105" s="22"/>
      <c r="O105" s="22"/>
      <c r="P105" s="22"/>
      <c r="Q105" s="22"/>
      <c r="R105" s="22"/>
      <c r="S105" s="23"/>
      <c r="T105" s="23"/>
      <c r="U105" s="22"/>
      <c r="V105" s="22"/>
      <c r="W105" s="24"/>
      <c r="X105" s="24"/>
      <c r="Y105" s="22"/>
      <c r="Z105" s="21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7" t="str">
        <f t="shared" si="11"/>
        <v>No</v>
      </c>
      <c r="AV105" s="22"/>
      <c r="AW105" s="22"/>
      <c r="AX105" s="22"/>
      <c r="AY105" s="22"/>
    </row>
    <row r="106" spans="1:51" x14ac:dyDescent="0.35">
      <c r="A106" s="9">
        <f t="shared" si="10"/>
        <v>105</v>
      </c>
      <c r="J106" s="22"/>
      <c r="K106" s="10" t="str">
        <f>IFERROR(VLOOKUP(J106,Lists!$I$1:$J$21,2,FALSE),"")</f>
        <v/>
      </c>
      <c r="L106" s="22"/>
      <c r="M106" s="22"/>
      <c r="N106" s="22"/>
      <c r="O106" s="22"/>
      <c r="P106" s="22"/>
      <c r="Q106" s="22"/>
      <c r="R106" s="22"/>
      <c r="S106" s="23"/>
      <c r="T106" s="23"/>
      <c r="U106" s="22"/>
      <c r="V106" s="22"/>
      <c r="W106" s="24"/>
      <c r="X106" s="24"/>
      <c r="Y106" s="22"/>
      <c r="Z106" s="21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7" t="str">
        <f t="shared" si="11"/>
        <v>No</v>
      </c>
      <c r="AV106" s="22"/>
      <c r="AW106" s="22"/>
      <c r="AX106" s="22"/>
      <c r="AY106" s="22"/>
    </row>
    <row r="107" spans="1:51" x14ac:dyDescent="0.35">
      <c r="A107" s="9">
        <f t="shared" si="10"/>
        <v>106</v>
      </c>
      <c r="J107" s="22"/>
      <c r="K107" s="10" t="str">
        <f>IFERROR(VLOOKUP(J107,Lists!$I$1:$J$21,2,FALSE),"")</f>
        <v/>
      </c>
      <c r="L107" s="22"/>
      <c r="M107" s="22"/>
      <c r="N107" s="22"/>
      <c r="O107" s="22"/>
      <c r="P107" s="22"/>
      <c r="Q107" s="22"/>
      <c r="R107" s="22"/>
      <c r="S107" s="23"/>
      <c r="T107" s="23"/>
      <c r="U107" s="22"/>
      <c r="V107" s="22"/>
      <c r="W107" s="24"/>
      <c r="X107" s="24"/>
      <c r="Y107" s="22"/>
      <c r="Z107" s="21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7" t="str">
        <f t="shared" si="11"/>
        <v>No</v>
      </c>
      <c r="AV107" s="22"/>
      <c r="AW107" s="22"/>
      <c r="AX107" s="22"/>
      <c r="AY107" s="22"/>
    </row>
    <row r="108" spans="1:51" x14ac:dyDescent="0.35">
      <c r="A108" s="9">
        <f t="shared" si="10"/>
        <v>107</v>
      </c>
      <c r="J108" s="22"/>
      <c r="K108" s="10" t="str">
        <f>IFERROR(VLOOKUP(J108,Lists!$I$1:$J$21,2,FALSE),"")</f>
        <v/>
      </c>
      <c r="L108" s="22"/>
      <c r="M108" s="22"/>
      <c r="N108" s="22"/>
      <c r="O108" s="22"/>
      <c r="P108" s="22"/>
      <c r="Q108" s="22"/>
      <c r="R108" s="22"/>
      <c r="S108" s="23"/>
      <c r="T108" s="23"/>
      <c r="U108" s="22"/>
      <c r="V108" s="22"/>
      <c r="W108" s="24"/>
      <c r="X108" s="24"/>
      <c r="Y108" s="22"/>
      <c r="Z108" s="21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7" t="str">
        <f t="shared" si="11"/>
        <v>No</v>
      </c>
      <c r="AV108" s="22"/>
      <c r="AW108" s="22"/>
      <c r="AX108" s="22"/>
      <c r="AY108" s="22"/>
    </row>
    <row r="109" spans="1:51" x14ac:dyDescent="0.35">
      <c r="A109" s="9">
        <f t="shared" si="10"/>
        <v>108</v>
      </c>
      <c r="J109" s="22"/>
      <c r="K109" s="10" t="str">
        <f>IFERROR(VLOOKUP(J109,Lists!$I$1:$J$21,2,FALSE),"")</f>
        <v/>
      </c>
      <c r="L109" s="22"/>
      <c r="M109" s="22"/>
      <c r="N109" s="22"/>
      <c r="O109" s="22"/>
      <c r="P109" s="22"/>
      <c r="Q109" s="22"/>
      <c r="R109" s="22"/>
      <c r="S109" s="23"/>
      <c r="T109" s="23"/>
      <c r="U109" s="22"/>
      <c r="V109" s="22"/>
      <c r="W109" s="24"/>
      <c r="X109" s="24"/>
      <c r="Y109" s="22"/>
      <c r="Z109" s="21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7" t="str">
        <f t="shared" si="11"/>
        <v>No</v>
      </c>
      <c r="AV109" s="22"/>
      <c r="AW109" s="22"/>
      <c r="AX109" s="22"/>
      <c r="AY109" s="22"/>
    </row>
    <row r="110" spans="1:51" x14ac:dyDescent="0.35">
      <c r="A110" s="9">
        <f t="shared" si="10"/>
        <v>109</v>
      </c>
      <c r="J110" s="22"/>
      <c r="K110" s="10" t="str">
        <f>IFERROR(VLOOKUP(J110,Lists!$I$1:$J$21,2,FALSE),"")</f>
        <v/>
      </c>
      <c r="L110" s="22"/>
      <c r="M110" s="22"/>
      <c r="N110" s="22"/>
      <c r="O110" s="22"/>
      <c r="P110" s="22"/>
      <c r="Q110" s="22"/>
      <c r="R110" s="22"/>
      <c r="S110" s="23"/>
      <c r="T110" s="23"/>
      <c r="U110" s="22"/>
      <c r="V110" s="22"/>
      <c r="W110" s="24"/>
      <c r="X110" s="24"/>
      <c r="Y110" s="22"/>
      <c r="Z110" s="21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7" t="str">
        <f t="shared" si="11"/>
        <v>No</v>
      </c>
      <c r="AV110" s="22"/>
      <c r="AW110" s="22"/>
      <c r="AX110" s="22"/>
      <c r="AY110" s="22"/>
    </row>
    <row r="111" spans="1:51" x14ac:dyDescent="0.35">
      <c r="A111" s="9">
        <f t="shared" si="10"/>
        <v>110</v>
      </c>
      <c r="J111" s="22"/>
      <c r="K111" s="10" t="str">
        <f>IFERROR(VLOOKUP(J111,Lists!$I$1:$J$21,2,FALSE),"")</f>
        <v/>
      </c>
      <c r="L111" s="22"/>
      <c r="M111" s="22"/>
      <c r="N111" s="22"/>
      <c r="O111" s="22"/>
      <c r="P111" s="22"/>
      <c r="Q111" s="22"/>
      <c r="R111" s="22"/>
      <c r="S111" s="23"/>
      <c r="T111" s="23"/>
      <c r="U111" s="22"/>
      <c r="V111" s="22"/>
      <c r="W111" s="24"/>
      <c r="X111" s="24"/>
      <c r="Y111" s="22"/>
      <c r="Z111" s="21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7" t="str">
        <f t="shared" si="11"/>
        <v>No</v>
      </c>
      <c r="AV111" s="22"/>
      <c r="AW111" s="22"/>
      <c r="AX111" s="22"/>
      <c r="AY111" s="22"/>
    </row>
    <row r="112" spans="1:51" x14ac:dyDescent="0.35">
      <c r="A112" s="9">
        <f t="shared" si="10"/>
        <v>111</v>
      </c>
      <c r="J112" s="22"/>
      <c r="K112" s="10" t="str">
        <f>IFERROR(VLOOKUP(J112,Lists!$I$1:$J$21,2,FALSE),"")</f>
        <v/>
      </c>
      <c r="L112" s="22"/>
      <c r="M112" s="22"/>
      <c r="N112" s="22"/>
      <c r="O112" s="22"/>
      <c r="P112" s="22"/>
      <c r="Q112" s="22"/>
      <c r="R112" s="22"/>
      <c r="S112" s="23"/>
      <c r="T112" s="23"/>
      <c r="U112" s="22"/>
      <c r="V112" s="22"/>
      <c r="W112" s="24"/>
      <c r="X112" s="24"/>
      <c r="Y112" s="22"/>
      <c r="Z112" s="21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7" t="str">
        <f t="shared" si="11"/>
        <v>No</v>
      </c>
      <c r="AV112" s="22"/>
      <c r="AW112" s="22"/>
      <c r="AX112" s="22"/>
      <c r="AY112" s="22"/>
    </row>
    <row r="113" spans="1:51" x14ac:dyDescent="0.35">
      <c r="A113" s="9">
        <f t="shared" si="10"/>
        <v>112</v>
      </c>
      <c r="J113" s="22"/>
      <c r="K113" s="10" t="str">
        <f>IFERROR(VLOOKUP(J113,Lists!$I$1:$J$21,2,FALSE),"")</f>
        <v/>
      </c>
      <c r="L113" s="22"/>
      <c r="M113" s="22"/>
      <c r="N113" s="22"/>
      <c r="O113" s="22"/>
      <c r="P113" s="22"/>
      <c r="Q113" s="22"/>
      <c r="R113" s="22"/>
      <c r="S113" s="23"/>
      <c r="T113" s="23"/>
      <c r="U113" s="22"/>
      <c r="V113" s="22"/>
      <c r="W113" s="24"/>
      <c r="X113" s="24"/>
      <c r="Y113" s="22"/>
      <c r="Z113" s="21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7" t="str">
        <f t="shared" si="11"/>
        <v>No</v>
      </c>
      <c r="AV113" s="22"/>
      <c r="AW113" s="22"/>
      <c r="AX113" s="22"/>
      <c r="AY113" s="22"/>
    </row>
    <row r="114" spans="1:51" x14ac:dyDescent="0.35">
      <c r="A114" s="9">
        <f t="shared" si="10"/>
        <v>113</v>
      </c>
      <c r="J114" s="22"/>
      <c r="K114" s="10" t="str">
        <f>IFERROR(VLOOKUP(J114,Lists!$I$1:$J$21,2,FALSE),"")</f>
        <v/>
      </c>
      <c r="L114" s="22"/>
      <c r="M114" s="22"/>
      <c r="N114" s="22"/>
      <c r="O114" s="22"/>
      <c r="P114" s="22"/>
      <c r="Q114" s="22"/>
      <c r="R114" s="22"/>
      <c r="S114" s="23"/>
      <c r="T114" s="23"/>
      <c r="U114" s="22"/>
      <c r="V114" s="22"/>
      <c r="W114" s="24"/>
      <c r="X114" s="24"/>
      <c r="Y114" s="22"/>
      <c r="Z114" s="21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7" t="str">
        <f t="shared" si="11"/>
        <v>No</v>
      </c>
      <c r="AV114" s="22"/>
      <c r="AW114" s="22"/>
      <c r="AX114" s="22"/>
      <c r="AY114" s="22"/>
    </row>
    <row r="115" spans="1:51" x14ac:dyDescent="0.35">
      <c r="A115" s="9">
        <f t="shared" si="10"/>
        <v>114</v>
      </c>
      <c r="J115" s="22"/>
      <c r="K115" s="10" t="str">
        <f>IFERROR(VLOOKUP(J115,Lists!$I$1:$J$21,2,FALSE),"")</f>
        <v/>
      </c>
      <c r="L115" s="22"/>
      <c r="M115" s="22"/>
      <c r="N115" s="22"/>
      <c r="O115" s="22"/>
      <c r="P115" s="22"/>
      <c r="Q115" s="22"/>
      <c r="R115" s="22"/>
      <c r="S115" s="23"/>
      <c r="T115" s="23"/>
      <c r="U115" s="22"/>
      <c r="V115" s="22"/>
      <c r="W115" s="24"/>
      <c r="X115" s="24"/>
      <c r="Y115" s="22"/>
      <c r="Z115" s="21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7" t="str">
        <f t="shared" si="11"/>
        <v>No</v>
      </c>
      <c r="AV115" s="22"/>
      <c r="AW115" s="22"/>
      <c r="AX115" s="22"/>
      <c r="AY115" s="22"/>
    </row>
    <row r="116" spans="1:51" x14ac:dyDescent="0.35">
      <c r="A116" s="9">
        <f t="shared" si="10"/>
        <v>115</v>
      </c>
      <c r="J116" s="22"/>
      <c r="K116" s="10" t="str">
        <f>IFERROR(VLOOKUP(J116,Lists!$I$1:$J$21,2,FALSE),"")</f>
        <v/>
      </c>
      <c r="L116" s="22"/>
      <c r="M116" s="22"/>
      <c r="N116" s="22"/>
      <c r="O116" s="22"/>
      <c r="P116" s="22"/>
      <c r="Q116" s="22"/>
      <c r="R116" s="22"/>
      <c r="S116" s="23"/>
      <c r="T116" s="23"/>
      <c r="U116" s="22"/>
      <c r="V116" s="22"/>
      <c r="W116" s="24"/>
      <c r="X116" s="24"/>
      <c r="Y116" s="22"/>
      <c r="Z116" s="21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7" t="str">
        <f t="shared" si="11"/>
        <v>No</v>
      </c>
      <c r="AV116" s="22"/>
      <c r="AW116" s="22"/>
      <c r="AX116" s="22"/>
      <c r="AY116" s="22"/>
    </row>
    <row r="117" spans="1:51" x14ac:dyDescent="0.35">
      <c r="A117" s="9">
        <f t="shared" si="10"/>
        <v>116</v>
      </c>
      <c r="J117" s="22"/>
      <c r="K117" s="10" t="str">
        <f>IFERROR(VLOOKUP(J117,Lists!$I$1:$J$21,2,FALSE),"")</f>
        <v/>
      </c>
      <c r="L117" s="22"/>
      <c r="M117" s="22"/>
      <c r="N117" s="22"/>
      <c r="O117" s="22"/>
      <c r="P117" s="22"/>
      <c r="Q117" s="22"/>
      <c r="R117" s="22"/>
      <c r="S117" s="23"/>
      <c r="T117" s="23"/>
      <c r="U117" s="22"/>
      <c r="V117" s="22"/>
      <c r="W117" s="24"/>
      <c r="X117" s="24"/>
      <c r="Y117" s="22"/>
      <c r="Z117" s="21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7" t="str">
        <f t="shared" si="11"/>
        <v>No</v>
      </c>
      <c r="AV117" s="22"/>
      <c r="AW117" s="22"/>
      <c r="AX117" s="22"/>
      <c r="AY117" s="22"/>
    </row>
    <row r="118" spans="1:51" x14ac:dyDescent="0.35">
      <c r="A118" s="9">
        <f t="shared" si="10"/>
        <v>117</v>
      </c>
      <c r="J118" s="22"/>
      <c r="K118" s="10" t="str">
        <f>IFERROR(VLOOKUP(J118,Lists!$I$1:$J$21,2,FALSE),"")</f>
        <v/>
      </c>
      <c r="L118" s="22"/>
      <c r="M118" s="22"/>
      <c r="N118" s="22"/>
      <c r="O118" s="22"/>
      <c r="P118" s="22"/>
      <c r="Q118" s="22"/>
      <c r="R118" s="22"/>
      <c r="S118" s="23"/>
      <c r="T118" s="23"/>
      <c r="U118" s="22"/>
      <c r="V118" s="22"/>
      <c r="W118" s="24"/>
      <c r="X118" s="24"/>
      <c r="Y118" s="22"/>
      <c r="Z118" s="21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7" t="str">
        <f t="shared" si="11"/>
        <v>No</v>
      </c>
      <c r="AV118" s="22"/>
      <c r="AW118" s="22"/>
      <c r="AX118" s="22"/>
      <c r="AY118" s="22"/>
    </row>
    <row r="119" spans="1:51" x14ac:dyDescent="0.35">
      <c r="A119" s="9">
        <f t="shared" si="10"/>
        <v>118</v>
      </c>
      <c r="J119" s="22"/>
      <c r="K119" s="10" t="str">
        <f>IFERROR(VLOOKUP(J119,Lists!$I$1:$J$21,2,FALSE),"")</f>
        <v/>
      </c>
      <c r="L119" s="22"/>
      <c r="M119" s="22"/>
      <c r="N119" s="22"/>
      <c r="O119" s="22"/>
      <c r="P119" s="22"/>
      <c r="Q119" s="22"/>
      <c r="R119" s="22"/>
      <c r="S119" s="23"/>
      <c r="T119" s="23"/>
      <c r="U119" s="22"/>
      <c r="V119" s="22"/>
      <c r="W119" s="24"/>
      <c r="X119" s="24"/>
      <c r="Y119" s="22"/>
      <c r="Z119" s="21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7" t="str">
        <f t="shared" si="11"/>
        <v>No</v>
      </c>
      <c r="AV119" s="22"/>
      <c r="AW119" s="22"/>
      <c r="AX119" s="22"/>
      <c r="AY119" s="22"/>
    </row>
    <row r="120" spans="1:51" x14ac:dyDescent="0.35">
      <c r="A120" s="9">
        <f t="shared" si="10"/>
        <v>119</v>
      </c>
      <c r="J120" s="22"/>
      <c r="K120" s="10" t="str">
        <f>IFERROR(VLOOKUP(J120,Lists!$I$1:$J$21,2,FALSE),"")</f>
        <v/>
      </c>
      <c r="L120" s="22"/>
      <c r="M120" s="22"/>
      <c r="N120" s="22"/>
      <c r="O120" s="22"/>
      <c r="P120" s="22"/>
      <c r="Q120" s="22"/>
      <c r="R120" s="22"/>
      <c r="S120" s="23"/>
      <c r="T120" s="23"/>
      <c r="U120" s="22"/>
      <c r="V120" s="22"/>
      <c r="W120" s="24"/>
      <c r="X120" s="24"/>
      <c r="Y120" s="22"/>
      <c r="Z120" s="21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7" t="str">
        <f t="shared" si="11"/>
        <v>No</v>
      </c>
      <c r="AV120" s="22"/>
      <c r="AW120" s="22"/>
      <c r="AX120" s="22"/>
      <c r="AY120" s="22"/>
    </row>
    <row r="121" spans="1:51" x14ac:dyDescent="0.35">
      <c r="A121" s="9">
        <f t="shared" si="10"/>
        <v>120</v>
      </c>
      <c r="J121" s="22"/>
      <c r="K121" s="10" t="str">
        <f>IFERROR(VLOOKUP(J121,Lists!$I$1:$J$21,2,FALSE),"")</f>
        <v/>
      </c>
      <c r="L121" s="22"/>
      <c r="M121" s="22"/>
      <c r="N121" s="22"/>
      <c r="O121" s="22"/>
      <c r="P121" s="22"/>
      <c r="Q121" s="22"/>
      <c r="R121" s="22"/>
      <c r="S121" s="23"/>
      <c r="T121" s="23"/>
      <c r="U121" s="22"/>
      <c r="V121" s="22"/>
      <c r="W121" s="24"/>
      <c r="X121" s="24"/>
      <c r="Y121" s="22"/>
      <c r="Z121" s="21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7" t="str">
        <f t="shared" si="11"/>
        <v>No</v>
      </c>
      <c r="AV121" s="22"/>
      <c r="AW121" s="22"/>
      <c r="AX121" s="22"/>
      <c r="AY121" s="22"/>
    </row>
    <row r="122" spans="1:51" x14ac:dyDescent="0.35">
      <c r="A122" s="9">
        <f t="shared" si="10"/>
        <v>121</v>
      </c>
      <c r="J122" s="22"/>
      <c r="K122" s="10" t="str">
        <f>IFERROR(VLOOKUP(J122,Lists!$I$1:$J$21,2,FALSE),"")</f>
        <v/>
      </c>
      <c r="L122" s="22"/>
      <c r="M122" s="22"/>
      <c r="N122" s="22"/>
      <c r="O122" s="22"/>
      <c r="P122" s="22"/>
      <c r="Q122" s="22"/>
      <c r="R122" s="22"/>
      <c r="S122" s="23"/>
      <c r="T122" s="23"/>
      <c r="U122" s="22"/>
      <c r="V122" s="22"/>
      <c r="W122" s="24"/>
      <c r="X122" s="24"/>
      <c r="Y122" s="22"/>
      <c r="Z122" s="21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7" t="str">
        <f t="shared" si="11"/>
        <v>No</v>
      </c>
      <c r="AV122" s="22"/>
      <c r="AW122" s="22"/>
      <c r="AX122" s="22"/>
      <c r="AY122" s="22"/>
    </row>
    <row r="123" spans="1:51" x14ac:dyDescent="0.35">
      <c r="A123" s="9">
        <f t="shared" si="10"/>
        <v>122</v>
      </c>
      <c r="J123" s="22"/>
      <c r="K123" s="10" t="str">
        <f>IFERROR(VLOOKUP(J123,Lists!$I$1:$J$21,2,FALSE),"")</f>
        <v/>
      </c>
      <c r="L123" s="22"/>
      <c r="M123" s="22"/>
      <c r="N123" s="22"/>
      <c r="O123" s="22"/>
      <c r="P123" s="22"/>
      <c r="Q123" s="22"/>
      <c r="R123" s="22"/>
      <c r="S123" s="23"/>
      <c r="T123" s="23"/>
      <c r="U123" s="22"/>
      <c r="V123" s="22"/>
      <c r="W123" s="24"/>
      <c r="X123" s="24"/>
      <c r="Y123" s="22"/>
      <c r="Z123" s="21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7" t="str">
        <f t="shared" si="11"/>
        <v>No</v>
      </c>
      <c r="AV123" s="22"/>
      <c r="AW123" s="22"/>
      <c r="AX123" s="22"/>
      <c r="AY123" s="22"/>
    </row>
    <row r="124" spans="1:51" x14ac:dyDescent="0.35">
      <c r="A124" s="9">
        <f t="shared" si="10"/>
        <v>123</v>
      </c>
      <c r="J124" s="22"/>
      <c r="K124" s="10" t="str">
        <f>IFERROR(VLOOKUP(J124,Lists!$I$1:$J$21,2,FALSE),"")</f>
        <v/>
      </c>
      <c r="L124" s="22"/>
      <c r="M124" s="22"/>
      <c r="N124" s="22"/>
      <c r="O124" s="22"/>
      <c r="P124" s="22"/>
      <c r="Q124" s="22"/>
      <c r="R124" s="22"/>
      <c r="S124" s="23"/>
      <c r="T124" s="23"/>
      <c r="U124" s="22"/>
      <c r="V124" s="22"/>
      <c r="W124" s="24"/>
      <c r="X124" s="24"/>
      <c r="Y124" s="22"/>
      <c r="Z124" s="21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7" t="str">
        <f t="shared" si="11"/>
        <v>No</v>
      </c>
      <c r="AV124" s="22"/>
      <c r="AW124" s="22"/>
      <c r="AX124" s="22"/>
      <c r="AY124" s="22"/>
    </row>
    <row r="125" spans="1:51" x14ac:dyDescent="0.35">
      <c r="A125" s="9">
        <f t="shared" si="10"/>
        <v>124</v>
      </c>
      <c r="J125" s="22"/>
      <c r="K125" s="10" t="str">
        <f>IFERROR(VLOOKUP(J125,Lists!$I$1:$J$21,2,FALSE),"")</f>
        <v/>
      </c>
      <c r="L125" s="22"/>
      <c r="M125" s="22"/>
      <c r="N125" s="22"/>
      <c r="O125" s="22"/>
      <c r="P125" s="22"/>
      <c r="Q125" s="22"/>
      <c r="R125" s="22"/>
      <c r="S125" s="23"/>
      <c r="T125" s="23"/>
      <c r="U125" s="22"/>
      <c r="V125" s="22"/>
      <c r="W125" s="24"/>
      <c r="X125" s="24"/>
      <c r="Y125" s="22"/>
      <c r="Z125" s="21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7" t="str">
        <f t="shared" si="11"/>
        <v>No</v>
      </c>
      <c r="AV125" s="22"/>
      <c r="AW125" s="22"/>
      <c r="AX125" s="22"/>
      <c r="AY125" s="22"/>
    </row>
    <row r="126" spans="1:51" x14ac:dyDescent="0.35">
      <c r="A126" s="9">
        <f t="shared" si="10"/>
        <v>125</v>
      </c>
      <c r="J126" s="22"/>
      <c r="K126" s="10" t="str">
        <f>IFERROR(VLOOKUP(J126,Lists!$I$1:$J$21,2,FALSE),"")</f>
        <v/>
      </c>
      <c r="L126" s="22"/>
      <c r="M126" s="22"/>
      <c r="N126" s="22"/>
      <c r="O126" s="22"/>
      <c r="P126" s="22"/>
      <c r="Q126" s="22"/>
      <c r="R126" s="22"/>
      <c r="S126" s="23"/>
      <c r="T126" s="23"/>
      <c r="U126" s="22"/>
      <c r="V126" s="22"/>
      <c r="W126" s="24"/>
      <c r="X126" s="24"/>
      <c r="Y126" s="22"/>
      <c r="Z126" s="21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7" t="str">
        <f t="shared" si="11"/>
        <v>No</v>
      </c>
      <c r="AV126" s="22"/>
      <c r="AW126" s="22"/>
      <c r="AX126" s="22"/>
      <c r="AY126" s="22"/>
    </row>
    <row r="127" spans="1:51" x14ac:dyDescent="0.35">
      <c r="A127" s="9">
        <f t="shared" si="10"/>
        <v>126</v>
      </c>
      <c r="J127" s="22"/>
      <c r="K127" s="10" t="str">
        <f>IFERROR(VLOOKUP(J127,Lists!$I$1:$J$21,2,FALSE),"")</f>
        <v/>
      </c>
      <c r="L127" s="22"/>
      <c r="M127" s="22"/>
      <c r="N127" s="22"/>
      <c r="O127" s="22"/>
      <c r="P127" s="22"/>
      <c r="Q127" s="22"/>
      <c r="R127" s="22"/>
      <c r="S127" s="23"/>
      <c r="T127" s="23"/>
      <c r="U127" s="22"/>
      <c r="V127" s="22"/>
      <c r="W127" s="24"/>
      <c r="X127" s="24"/>
      <c r="Y127" s="22"/>
      <c r="Z127" s="21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7" t="str">
        <f t="shared" si="11"/>
        <v>No</v>
      </c>
      <c r="AV127" s="22"/>
      <c r="AW127" s="22"/>
      <c r="AX127" s="22"/>
      <c r="AY127" s="22"/>
    </row>
    <row r="128" spans="1:51" x14ac:dyDescent="0.35">
      <c r="A128" s="9">
        <f t="shared" si="10"/>
        <v>127</v>
      </c>
      <c r="J128" s="22"/>
      <c r="K128" s="10" t="str">
        <f>IFERROR(VLOOKUP(J128,Lists!$I$1:$J$21,2,FALSE),"")</f>
        <v/>
      </c>
      <c r="L128" s="22"/>
      <c r="M128" s="22"/>
      <c r="N128" s="22"/>
      <c r="O128" s="22"/>
      <c r="P128" s="22"/>
      <c r="Q128" s="22"/>
      <c r="R128" s="22"/>
      <c r="S128" s="23"/>
      <c r="T128" s="23"/>
      <c r="U128" s="22"/>
      <c r="V128" s="22"/>
      <c r="W128" s="24"/>
      <c r="X128" s="24"/>
      <c r="Y128" s="22"/>
      <c r="Z128" s="21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7" t="str">
        <f t="shared" si="11"/>
        <v>No</v>
      </c>
      <c r="AV128" s="22"/>
      <c r="AW128" s="22"/>
      <c r="AX128" s="22"/>
      <c r="AY128" s="22"/>
    </row>
    <row r="129" spans="1:51" x14ac:dyDescent="0.35">
      <c r="A129" s="9">
        <f t="shared" si="10"/>
        <v>128</v>
      </c>
      <c r="J129" s="22"/>
      <c r="K129" s="10" t="str">
        <f>IFERROR(VLOOKUP(J129,Lists!$I$1:$J$21,2,FALSE),"")</f>
        <v/>
      </c>
      <c r="L129" s="22"/>
      <c r="M129" s="22"/>
      <c r="N129" s="22"/>
      <c r="O129" s="22"/>
      <c r="P129" s="22"/>
      <c r="Q129" s="22"/>
      <c r="R129" s="22"/>
      <c r="S129" s="23"/>
      <c r="T129" s="23"/>
      <c r="U129" s="22"/>
      <c r="V129" s="22"/>
      <c r="W129" s="24"/>
      <c r="X129" s="24"/>
      <c r="Y129" s="22"/>
      <c r="Z129" s="21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7" t="str">
        <f t="shared" si="11"/>
        <v>No</v>
      </c>
      <c r="AV129" s="22"/>
      <c r="AW129" s="22"/>
      <c r="AX129" s="22"/>
      <c r="AY129" s="22"/>
    </row>
    <row r="130" spans="1:51" x14ac:dyDescent="0.35">
      <c r="A130" s="9">
        <f t="shared" si="10"/>
        <v>129</v>
      </c>
      <c r="J130" s="22"/>
      <c r="K130" s="10" t="str">
        <f>IFERROR(VLOOKUP(J130,Lists!$I$1:$J$21,2,FALSE),"")</f>
        <v/>
      </c>
      <c r="L130" s="22"/>
      <c r="M130" s="22"/>
      <c r="N130" s="22"/>
      <c r="O130" s="22"/>
      <c r="P130" s="22"/>
      <c r="Q130" s="22"/>
      <c r="R130" s="22"/>
      <c r="S130" s="23"/>
      <c r="T130" s="23"/>
      <c r="U130" s="22"/>
      <c r="V130" s="22"/>
      <c r="W130" s="24"/>
      <c r="X130" s="24"/>
      <c r="Y130" s="22"/>
      <c r="Z130" s="21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7" t="str">
        <f t="shared" ref="AU130:AU161" si="12">IF(COUNTIF(AJ130:AT130,"Yes")=COLUMNS(AJ130:AT130),"Yes","No")</f>
        <v>No</v>
      </c>
      <c r="AV130" s="22"/>
      <c r="AW130" s="22"/>
      <c r="AX130" s="22"/>
      <c r="AY130" s="22"/>
    </row>
    <row r="131" spans="1:51" x14ac:dyDescent="0.35">
      <c r="A131" s="9">
        <f t="shared" ref="A131:A194" si="13">ROW()-1</f>
        <v>130</v>
      </c>
      <c r="J131" s="22"/>
      <c r="K131" s="10" t="str">
        <f>IFERROR(VLOOKUP(J131,Lists!$I$1:$J$21,2,FALSE),"")</f>
        <v/>
      </c>
      <c r="L131" s="22"/>
      <c r="M131" s="22"/>
      <c r="N131" s="22"/>
      <c r="O131" s="22"/>
      <c r="P131" s="22"/>
      <c r="Q131" s="22"/>
      <c r="R131" s="22"/>
      <c r="S131" s="23"/>
      <c r="T131" s="23"/>
      <c r="U131" s="22"/>
      <c r="V131" s="22"/>
      <c r="W131" s="24"/>
      <c r="X131" s="24"/>
      <c r="Y131" s="22"/>
      <c r="Z131" s="21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7" t="str">
        <f t="shared" si="12"/>
        <v>No</v>
      </c>
      <c r="AV131" s="22"/>
      <c r="AW131" s="22"/>
      <c r="AX131" s="22"/>
      <c r="AY131" s="22"/>
    </row>
    <row r="132" spans="1:51" x14ac:dyDescent="0.35">
      <c r="A132" s="9">
        <f t="shared" si="13"/>
        <v>131</v>
      </c>
      <c r="J132" s="22"/>
      <c r="K132" s="10" t="str">
        <f>IFERROR(VLOOKUP(J132,Lists!$I$1:$J$21,2,FALSE),"")</f>
        <v/>
      </c>
      <c r="L132" s="22"/>
      <c r="M132" s="22"/>
      <c r="N132" s="22"/>
      <c r="O132" s="22"/>
      <c r="P132" s="22"/>
      <c r="Q132" s="22"/>
      <c r="R132" s="22"/>
      <c r="S132" s="23"/>
      <c r="T132" s="23"/>
      <c r="U132" s="22"/>
      <c r="V132" s="22"/>
      <c r="W132" s="24"/>
      <c r="X132" s="24"/>
      <c r="Y132" s="22"/>
      <c r="Z132" s="21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7" t="str">
        <f t="shared" si="12"/>
        <v>No</v>
      </c>
      <c r="AV132" s="22"/>
      <c r="AW132" s="22"/>
      <c r="AX132" s="22"/>
      <c r="AY132" s="22"/>
    </row>
    <row r="133" spans="1:51" x14ac:dyDescent="0.35">
      <c r="A133" s="9">
        <f t="shared" si="13"/>
        <v>132</v>
      </c>
      <c r="J133" s="22"/>
      <c r="K133" s="10" t="str">
        <f>IFERROR(VLOOKUP(J133,Lists!$I$1:$J$21,2,FALSE),"")</f>
        <v/>
      </c>
      <c r="L133" s="22"/>
      <c r="M133" s="22"/>
      <c r="N133" s="22"/>
      <c r="O133" s="22"/>
      <c r="P133" s="22"/>
      <c r="Q133" s="22"/>
      <c r="R133" s="22"/>
      <c r="S133" s="23"/>
      <c r="T133" s="23"/>
      <c r="U133" s="22"/>
      <c r="V133" s="22"/>
      <c r="W133" s="24"/>
      <c r="X133" s="24"/>
      <c r="Y133" s="22"/>
      <c r="Z133" s="21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7" t="str">
        <f t="shared" si="12"/>
        <v>No</v>
      </c>
      <c r="AV133" s="22"/>
      <c r="AW133" s="22"/>
      <c r="AX133" s="22"/>
      <c r="AY133" s="22"/>
    </row>
    <row r="134" spans="1:51" x14ac:dyDescent="0.35">
      <c r="A134" s="9">
        <f t="shared" si="13"/>
        <v>133</v>
      </c>
      <c r="J134" s="22"/>
      <c r="K134" s="10" t="str">
        <f>IFERROR(VLOOKUP(J134,Lists!$I$1:$J$21,2,FALSE),"")</f>
        <v/>
      </c>
      <c r="L134" s="22"/>
      <c r="M134" s="22"/>
      <c r="N134" s="22"/>
      <c r="O134" s="22"/>
      <c r="P134" s="22"/>
      <c r="Q134" s="22"/>
      <c r="R134" s="22"/>
      <c r="S134" s="23"/>
      <c r="T134" s="23"/>
      <c r="U134" s="22"/>
      <c r="V134" s="22"/>
      <c r="W134" s="24"/>
      <c r="X134" s="24"/>
      <c r="Y134" s="22"/>
      <c r="Z134" s="21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7" t="str">
        <f t="shared" si="12"/>
        <v>No</v>
      </c>
      <c r="AV134" s="22"/>
      <c r="AW134" s="22"/>
      <c r="AX134" s="22"/>
      <c r="AY134" s="22"/>
    </row>
    <row r="135" spans="1:51" x14ac:dyDescent="0.35">
      <c r="A135" s="9">
        <f t="shared" si="13"/>
        <v>134</v>
      </c>
      <c r="J135" s="22"/>
      <c r="K135" s="10" t="str">
        <f>IFERROR(VLOOKUP(J135,Lists!$I$1:$J$21,2,FALSE),"")</f>
        <v/>
      </c>
      <c r="L135" s="22"/>
      <c r="M135" s="22"/>
      <c r="N135" s="22"/>
      <c r="O135" s="22"/>
      <c r="P135" s="22"/>
      <c r="Q135" s="22"/>
      <c r="R135" s="22"/>
      <c r="S135" s="23"/>
      <c r="T135" s="23"/>
      <c r="U135" s="22"/>
      <c r="V135" s="22"/>
      <c r="W135" s="24"/>
      <c r="X135" s="24"/>
      <c r="Y135" s="22"/>
      <c r="Z135" s="21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7" t="str">
        <f t="shared" si="12"/>
        <v>No</v>
      </c>
      <c r="AV135" s="22"/>
      <c r="AW135" s="22"/>
      <c r="AX135" s="22"/>
      <c r="AY135" s="22"/>
    </row>
    <row r="136" spans="1:51" x14ac:dyDescent="0.35">
      <c r="A136" s="9">
        <f t="shared" si="13"/>
        <v>135</v>
      </c>
      <c r="J136" s="22"/>
      <c r="K136" s="10" t="str">
        <f>IFERROR(VLOOKUP(J136,Lists!$I$1:$J$21,2,FALSE),"")</f>
        <v/>
      </c>
      <c r="L136" s="22"/>
      <c r="M136" s="22"/>
      <c r="N136" s="22"/>
      <c r="O136" s="22"/>
      <c r="P136" s="22"/>
      <c r="Q136" s="22"/>
      <c r="R136" s="22"/>
      <c r="S136" s="23"/>
      <c r="T136" s="23"/>
      <c r="U136" s="22"/>
      <c r="V136" s="22"/>
      <c r="W136" s="24"/>
      <c r="X136" s="24"/>
      <c r="Y136" s="22"/>
      <c r="Z136" s="21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7" t="str">
        <f t="shared" si="12"/>
        <v>No</v>
      </c>
      <c r="AV136" s="22"/>
      <c r="AW136" s="22"/>
      <c r="AX136" s="22"/>
      <c r="AY136" s="22"/>
    </row>
    <row r="137" spans="1:51" x14ac:dyDescent="0.35">
      <c r="A137" s="9">
        <f t="shared" si="13"/>
        <v>136</v>
      </c>
      <c r="J137" s="22"/>
      <c r="K137" s="10" t="str">
        <f>IFERROR(VLOOKUP(J137,Lists!$I$1:$J$21,2,FALSE),"")</f>
        <v/>
      </c>
      <c r="L137" s="22"/>
      <c r="M137" s="22"/>
      <c r="N137" s="22"/>
      <c r="O137" s="22"/>
      <c r="P137" s="22"/>
      <c r="Q137" s="22"/>
      <c r="R137" s="22"/>
      <c r="S137" s="23"/>
      <c r="T137" s="23"/>
      <c r="U137" s="22"/>
      <c r="V137" s="22"/>
      <c r="W137" s="24"/>
      <c r="X137" s="24"/>
      <c r="Y137" s="22"/>
      <c r="Z137" s="21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7" t="str">
        <f t="shared" si="12"/>
        <v>No</v>
      </c>
      <c r="AV137" s="22"/>
      <c r="AW137" s="22"/>
      <c r="AX137" s="22"/>
      <c r="AY137" s="22"/>
    </row>
    <row r="138" spans="1:51" x14ac:dyDescent="0.35">
      <c r="A138" s="9">
        <f t="shared" si="13"/>
        <v>137</v>
      </c>
      <c r="J138" s="22"/>
      <c r="K138" s="10" t="str">
        <f>IFERROR(VLOOKUP(J138,Lists!$I$1:$J$21,2,FALSE),"")</f>
        <v/>
      </c>
      <c r="L138" s="22"/>
      <c r="M138" s="22"/>
      <c r="N138" s="22"/>
      <c r="O138" s="22"/>
      <c r="P138" s="22"/>
      <c r="Q138" s="22"/>
      <c r="R138" s="22"/>
      <c r="S138" s="23"/>
      <c r="T138" s="23"/>
      <c r="U138" s="22"/>
      <c r="V138" s="22"/>
      <c r="W138" s="24"/>
      <c r="X138" s="24"/>
      <c r="Y138" s="22"/>
      <c r="Z138" s="21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7" t="str">
        <f t="shared" si="12"/>
        <v>No</v>
      </c>
      <c r="AV138" s="22"/>
      <c r="AW138" s="22"/>
      <c r="AX138" s="22"/>
      <c r="AY138" s="22"/>
    </row>
    <row r="139" spans="1:51" x14ac:dyDescent="0.35">
      <c r="A139" s="9">
        <f t="shared" si="13"/>
        <v>138</v>
      </c>
      <c r="J139" s="22"/>
      <c r="K139" s="10" t="str">
        <f>IFERROR(VLOOKUP(J139,Lists!$I$1:$J$21,2,FALSE),"")</f>
        <v/>
      </c>
      <c r="L139" s="22"/>
      <c r="M139" s="22"/>
      <c r="N139" s="22"/>
      <c r="O139" s="22"/>
      <c r="P139" s="22"/>
      <c r="Q139" s="22"/>
      <c r="R139" s="22"/>
      <c r="S139" s="23"/>
      <c r="T139" s="23"/>
      <c r="U139" s="22"/>
      <c r="V139" s="22"/>
      <c r="W139" s="24"/>
      <c r="X139" s="24"/>
      <c r="Y139" s="22"/>
      <c r="Z139" s="21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7" t="str">
        <f t="shared" si="12"/>
        <v>No</v>
      </c>
      <c r="AV139" s="22"/>
      <c r="AW139" s="22"/>
      <c r="AX139" s="22"/>
      <c r="AY139" s="22"/>
    </row>
    <row r="140" spans="1:51" x14ac:dyDescent="0.35">
      <c r="A140" s="9">
        <f t="shared" si="13"/>
        <v>139</v>
      </c>
      <c r="J140" s="22"/>
      <c r="K140" s="10" t="str">
        <f>IFERROR(VLOOKUP(J140,Lists!$I$1:$J$21,2,FALSE),"")</f>
        <v/>
      </c>
      <c r="L140" s="22"/>
      <c r="M140" s="22"/>
      <c r="N140" s="22"/>
      <c r="O140" s="22"/>
      <c r="P140" s="22"/>
      <c r="Q140" s="22"/>
      <c r="R140" s="22"/>
      <c r="S140" s="23"/>
      <c r="T140" s="23"/>
      <c r="U140" s="22"/>
      <c r="V140" s="22"/>
      <c r="W140" s="24"/>
      <c r="X140" s="24"/>
      <c r="Y140" s="22"/>
      <c r="Z140" s="21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7" t="str">
        <f t="shared" si="12"/>
        <v>No</v>
      </c>
      <c r="AV140" s="22"/>
      <c r="AW140" s="22"/>
      <c r="AX140" s="22"/>
      <c r="AY140" s="22"/>
    </row>
    <row r="141" spans="1:51" x14ac:dyDescent="0.35">
      <c r="A141" s="9">
        <f t="shared" si="13"/>
        <v>140</v>
      </c>
      <c r="J141" s="22"/>
      <c r="K141" s="10" t="str">
        <f>IFERROR(VLOOKUP(J141,Lists!$I$1:$J$21,2,FALSE),"")</f>
        <v/>
      </c>
      <c r="L141" s="22"/>
      <c r="M141" s="22"/>
      <c r="N141" s="22"/>
      <c r="O141" s="22"/>
      <c r="P141" s="22"/>
      <c r="Q141" s="22"/>
      <c r="R141" s="22"/>
      <c r="S141" s="23"/>
      <c r="T141" s="23"/>
      <c r="U141" s="22"/>
      <c r="V141" s="22"/>
      <c r="W141" s="24"/>
      <c r="X141" s="24"/>
      <c r="Y141" s="22"/>
      <c r="Z141" s="21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7" t="str">
        <f t="shared" si="12"/>
        <v>No</v>
      </c>
      <c r="AV141" s="22"/>
      <c r="AW141" s="22"/>
      <c r="AX141" s="22"/>
      <c r="AY141" s="22"/>
    </row>
    <row r="142" spans="1:51" x14ac:dyDescent="0.35">
      <c r="A142" s="9">
        <f t="shared" si="13"/>
        <v>141</v>
      </c>
      <c r="J142" s="22"/>
      <c r="K142" s="10" t="str">
        <f>IFERROR(VLOOKUP(J142,Lists!$I$1:$J$21,2,FALSE),"")</f>
        <v/>
      </c>
      <c r="L142" s="22"/>
      <c r="M142" s="22"/>
      <c r="N142" s="22"/>
      <c r="O142" s="22"/>
      <c r="P142" s="22"/>
      <c r="Q142" s="22"/>
      <c r="R142" s="22"/>
      <c r="S142" s="23"/>
      <c r="T142" s="23"/>
      <c r="U142" s="22"/>
      <c r="V142" s="22"/>
      <c r="W142" s="24"/>
      <c r="X142" s="24"/>
      <c r="Y142" s="22"/>
      <c r="Z142" s="21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7" t="str">
        <f t="shared" si="12"/>
        <v>No</v>
      </c>
      <c r="AV142" s="22"/>
      <c r="AW142" s="22"/>
      <c r="AX142" s="22"/>
      <c r="AY142" s="22"/>
    </row>
    <row r="143" spans="1:51" x14ac:dyDescent="0.35">
      <c r="A143" s="9">
        <f t="shared" si="13"/>
        <v>142</v>
      </c>
      <c r="J143" s="22"/>
      <c r="K143" s="10" t="str">
        <f>IFERROR(VLOOKUP(J143,Lists!$I$1:$J$21,2,FALSE),"")</f>
        <v/>
      </c>
      <c r="L143" s="22"/>
      <c r="M143" s="22"/>
      <c r="N143" s="22"/>
      <c r="O143" s="22"/>
      <c r="P143" s="22"/>
      <c r="Q143" s="22"/>
      <c r="R143" s="22"/>
      <c r="S143" s="23"/>
      <c r="T143" s="23"/>
      <c r="U143" s="22"/>
      <c r="V143" s="22"/>
      <c r="W143" s="24"/>
      <c r="X143" s="24"/>
      <c r="Y143" s="22"/>
      <c r="Z143" s="21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7" t="str">
        <f t="shared" si="12"/>
        <v>No</v>
      </c>
      <c r="AV143" s="22"/>
      <c r="AW143" s="22"/>
      <c r="AX143" s="22"/>
      <c r="AY143" s="22"/>
    </row>
    <row r="144" spans="1:51" x14ac:dyDescent="0.35">
      <c r="A144" s="9">
        <f t="shared" si="13"/>
        <v>143</v>
      </c>
      <c r="J144" s="22"/>
      <c r="K144" s="10" t="str">
        <f>IFERROR(VLOOKUP(J144,Lists!$I$1:$J$21,2,FALSE),"")</f>
        <v/>
      </c>
      <c r="L144" s="22"/>
      <c r="M144" s="22"/>
      <c r="N144" s="22"/>
      <c r="O144" s="22"/>
      <c r="P144" s="22"/>
      <c r="Q144" s="22"/>
      <c r="R144" s="22"/>
      <c r="S144" s="23"/>
      <c r="T144" s="23"/>
      <c r="U144" s="22"/>
      <c r="V144" s="22"/>
      <c r="W144" s="24"/>
      <c r="X144" s="24"/>
      <c r="Y144" s="22"/>
      <c r="Z144" s="21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7" t="str">
        <f t="shared" si="12"/>
        <v>No</v>
      </c>
      <c r="AV144" s="22"/>
      <c r="AW144" s="22"/>
      <c r="AX144" s="22"/>
      <c r="AY144" s="22"/>
    </row>
    <row r="145" spans="1:51" x14ac:dyDescent="0.35">
      <c r="A145" s="9">
        <f t="shared" si="13"/>
        <v>144</v>
      </c>
      <c r="J145" s="22"/>
      <c r="K145" s="10" t="str">
        <f>IFERROR(VLOOKUP(J145,Lists!$I$1:$J$21,2,FALSE),"")</f>
        <v/>
      </c>
      <c r="L145" s="22"/>
      <c r="M145" s="22"/>
      <c r="N145" s="22"/>
      <c r="O145" s="22"/>
      <c r="P145" s="22"/>
      <c r="Q145" s="22"/>
      <c r="R145" s="22"/>
      <c r="S145" s="23"/>
      <c r="T145" s="23"/>
      <c r="U145" s="22"/>
      <c r="V145" s="22"/>
      <c r="W145" s="24"/>
      <c r="X145" s="24"/>
      <c r="Y145" s="22"/>
      <c r="Z145" s="21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7" t="str">
        <f t="shared" si="12"/>
        <v>No</v>
      </c>
      <c r="AV145" s="22"/>
      <c r="AW145" s="22"/>
      <c r="AX145" s="22"/>
      <c r="AY145" s="22"/>
    </row>
    <row r="146" spans="1:51" x14ac:dyDescent="0.35">
      <c r="A146" s="9">
        <f t="shared" si="13"/>
        <v>145</v>
      </c>
      <c r="J146" s="22"/>
      <c r="K146" s="10" t="str">
        <f>IFERROR(VLOOKUP(J146,Lists!$I$1:$J$21,2,FALSE),"")</f>
        <v/>
      </c>
      <c r="L146" s="22"/>
      <c r="M146" s="22"/>
      <c r="N146" s="22"/>
      <c r="O146" s="22"/>
      <c r="P146" s="22"/>
      <c r="Q146" s="22"/>
      <c r="R146" s="22"/>
      <c r="S146" s="23"/>
      <c r="T146" s="23"/>
      <c r="U146" s="22"/>
      <c r="V146" s="22"/>
      <c r="W146" s="24"/>
      <c r="X146" s="24"/>
      <c r="Y146" s="22"/>
      <c r="Z146" s="21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7" t="str">
        <f t="shared" si="12"/>
        <v>No</v>
      </c>
      <c r="AV146" s="22"/>
      <c r="AW146" s="22"/>
      <c r="AX146" s="22"/>
      <c r="AY146" s="22"/>
    </row>
    <row r="147" spans="1:51" x14ac:dyDescent="0.35">
      <c r="A147" s="9">
        <f t="shared" si="13"/>
        <v>146</v>
      </c>
      <c r="J147" s="22"/>
      <c r="K147" s="10" t="str">
        <f>IFERROR(VLOOKUP(J147,Lists!$I$1:$J$21,2,FALSE),"")</f>
        <v/>
      </c>
      <c r="L147" s="22"/>
      <c r="M147" s="22"/>
      <c r="N147" s="22"/>
      <c r="O147" s="22"/>
      <c r="P147" s="22"/>
      <c r="Q147" s="22"/>
      <c r="R147" s="22"/>
      <c r="S147" s="23"/>
      <c r="T147" s="23"/>
      <c r="U147" s="22"/>
      <c r="V147" s="22"/>
      <c r="W147" s="24"/>
      <c r="X147" s="24"/>
      <c r="Y147" s="22"/>
      <c r="Z147" s="21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7" t="str">
        <f t="shared" si="12"/>
        <v>No</v>
      </c>
      <c r="AV147" s="22"/>
      <c r="AW147" s="22"/>
      <c r="AX147" s="22"/>
      <c r="AY147" s="22"/>
    </row>
    <row r="148" spans="1:51" x14ac:dyDescent="0.35">
      <c r="A148" s="9">
        <f t="shared" si="13"/>
        <v>147</v>
      </c>
      <c r="J148" s="22"/>
      <c r="K148" s="10" t="str">
        <f>IFERROR(VLOOKUP(J148,Lists!$I$1:$J$21,2,FALSE),"")</f>
        <v/>
      </c>
      <c r="L148" s="22"/>
      <c r="M148" s="22"/>
      <c r="N148" s="22"/>
      <c r="O148" s="22"/>
      <c r="P148" s="22"/>
      <c r="Q148" s="22"/>
      <c r="R148" s="22"/>
      <c r="S148" s="23"/>
      <c r="T148" s="23"/>
      <c r="U148" s="22"/>
      <c r="V148" s="22"/>
      <c r="W148" s="24"/>
      <c r="X148" s="24"/>
      <c r="Y148" s="22"/>
      <c r="Z148" s="21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7" t="str">
        <f t="shared" si="12"/>
        <v>No</v>
      </c>
      <c r="AV148" s="22"/>
      <c r="AW148" s="22"/>
      <c r="AX148" s="22"/>
      <c r="AY148" s="22"/>
    </row>
    <row r="149" spans="1:51" x14ac:dyDescent="0.35">
      <c r="A149" s="9">
        <f t="shared" si="13"/>
        <v>148</v>
      </c>
      <c r="J149" s="22"/>
      <c r="K149" s="10" t="str">
        <f>IFERROR(VLOOKUP(J149,Lists!$I$1:$J$21,2,FALSE),"")</f>
        <v/>
      </c>
      <c r="L149" s="22"/>
      <c r="M149" s="22"/>
      <c r="N149" s="22"/>
      <c r="O149" s="22"/>
      <c r="P149" s="22"/>
      <c r="Q149" s="22"/>
      <c r="R149" s="22"/>
      <c r="S149" s="23"/>
      <c r="T149" s="23"/>
      <c r="U149" s="22"/>
      <c r="V149" s="22"/>
      <c r="W149" s="24"/>
      <c r="X149" s="24"/>
      <c r="Y149" s="22"/>
      <c r="Z149" s="21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7" t="str">
        <f t="shared" si="12"/>
        <v>No</v>
      </c>
      <c r="AV149" s="22"/>
      <c r="AW149" s="22"/>
      <c r="AX149" s="22"/>
      <c r="AY149" s="22"/>
    </row>
    <row r="150" spans="1:51" x14ac:dyDescent="0.35">
      <c r="A150" s="9">
        <f t="shared" si="13"/>
        <v>149</v>
      </c>
      <c r="J150" s="22"/>
      <c r="K150" s="10" t="str">
        <f>IFERROR(VLOOKUP(J150,Lists!$I$1:$J$21,2,FALSE),"")</f>
        <v/>
      </c>
      <c r="L150" s="22"/>
      <c r="M150" s="22"/>
      <c r="N150" s="22"/>
      <c r="O150" s="22"/>
      <c r="P150" s="22"/>
      <c r="Q150" s="22"/>
      <c r="R150" s="22"/>
      <c r="S150" s="23"/>
      <c r="T150" s="23"/>
      <c r="U150" s="22"/>
      <c r="V150" s="22"/>
      <c r="W150" s="24"/>
      <c r="X150" s="24"/>
      <c r="Y150" s="22"/>
      <c r="Z150" s="21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7" t="str">
        <f t="shared" si="12"/>
        <v>No</v>
      </c>
      <c r="AV150" s="22"/>
      <c r="AW150" s="22"/>
      <c r="AX150" s="22"/>
      <c r="AY150" s="22"/>
    </row>
    <row r="151" spans="1:51" x14ac:dyDescent="0.35">
      <c r="A151" s="9">
        <f t="shared" si="13"/>
        <v>150</v>
      </c>
      <c r="J151" s="22"/>
      <c r="K151" s="10" t="str">
        <f>IFERROR(VLOOKUP(J151,Lists!$I$1:$J$21,2,FALSE),"")</f>
        <v/>
      </c>
      <c r="L151" s="22"/>
      <c r="M151" s="22"/>
      <c r="N151" s="22"/>
      <c r="O151" s="22"/>
      <c r="P151" s="22"/>
      <c r="Q151" s="22"/>
      <c r="R151" s="22"/>
      <c r="S151" s="23"/>
      <c r="T151" s="23"/>
      <c r="U151" s="22"/>
      <c r="V151" s="22"/>
      <c r="W151" s="24"/>
      <c r="X151" s="24"/>
      <c r="Y151" s="22"/>
      <c r="Z151" s="21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7" t="str">
        <f t="shared" si="12"/>
        <v>No</v>
      </c>
      <c r="AV151" s="22"/>
      <c r="AW151" s="22"/>
      <c r="AX151" s="22"/>
      <c r="AY151" s="22"/>
    </row>
    <row r="152" spans="1:51" x14ac:dyDescent="0.35">
      <c r="A152" s="9">
        <f t="shared" si="13"/>
        <v>151</v>
      </c>
      <c r="J152" s="22"/>
      <c r="K152" s="10" t="str">
        <f>IFERROR(VLOOKUP(J152,Lists!$I$1:$J$21,2,FALSE),"")</f>
        <v/>
      </c>
      <c r="L152" s="22"/>
      <c r="M152" s="22"/>
      <c r="N152" s="22"/>
      <c r="O152" s="22"/>
      <c r="P152" s="22"/>
      <c r="Q152" s="22"/>
      <c r="R152" s="22"/>
      <c r="S152" s="23"/>
      <c r="T152" s="23"/>
      <c r="U152" s="22"/>
      <c r="V152" s="22"/>
      <c r="W152" s="24"/>
      <c r="X152" s="24"/>
      <c r="Y152" s="22"/>
      <c r="Z152" s="21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7" t="str">
        <f t="shared" si="12"/>
        <v>No</v>
      </c>
      <c r="AV152" s="22"/>
      <c r="AW152" s="22"/>
      <c r="AX152" s="22"/>
      <c r="AY152" s="22"/>
    </row>
    <row r="153" spans="1:51" x14ac:dyDescent="0.35">
      <c r="A153" s="9">
        <f t="shared" si="13"/>
        <v>152</v>
      </c>
      <c r="J153" s="22"/>
      <c r="K153" s="10" t="str">
        <f>IFERROR(VLOOKUP(J153,Lists!$I$1:$J$21,2,FALSE),"")</f>
        <v/>
      </c>
      <c r="L153" s="22"/>
      <c r="M153" s="22"/>
      <c r="N153" s="22"/>
      <c r="O153" s="22"/>
      <c r="P153" s="22"/>
      <c r="Q153" s="22"/>
      <c r="R153" s="22"/>
      <c r="S153" s="23"/>
      <c r="T153" s="23"/>
      <c r="U153" s="22"/>
      <c r="V153" s="22"/>
      <c r="W153" s="24"/>
      <c r="X153" s="24"/>
      <c r="Y153" s="22"/>
      <c r="Z153" s="21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7" t="str">
        <f t="shared" si="12"/>
        <v>No</v>
      </c>
      <c r="AV153" s="22"/>
      <c r="AW153" s="22"/>
      <c r="AX153" s="22"/>
      <c r="AY153" s="22"/>
    </row>
    <row r="154" spans="1:51" x14ac:dyDescent="0.35">
      <c r="A154" s="9">
        <f t="shared" si="13"/>
        <v>153</v>
      </c>
      <c r="J154" s="22"/>
      <c r="K154" s="10" t="str">
        <f>IFERROR(VLOOKUP(J154,Lists!$I$1:$J$21,2,FALSE),"")</f>
        <v/>
      </c>
      <c r="L154" s="22"/>
      <c r="M154" s="22"/>
      <c r="N154" s="22"/>
      <c r="O154" s="22"/>
      <c r="P154" s="22"/>
      <c r="Q154" s="22"/>
      <c r="R154" s="22"/>
      <c r="S154" s="23"/>
      <c r="T154" s="23"/>
      <c r="U154" s="22"/>
      <c r="V154" s="22"/>
      <c r="W154" s="24"/>
      <c r="X154" s="24"/>
      <c r="Y154" s="22"/>
      <c r="Z154" s="21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7" t="str">
        <f t="shared" si="12"/>
        <v>No</v>
      </c>
      <c r="AV154" s="22"/>
      <c r="AW154" s="22"/>
      <c r="AX154" s="22"/>
      <c r="AY154" s="22"/>
    </row>
    <row r="155" spans="1:51" x14ac:dyDescent="0.35">
      <c r="A155" s="9">
        <f t="shared" si="13"/>
        <v>154</v>
      </c>
      <c r="J155" s="22"/>
      <c r="K155" s="10" t="str">
        <f>IFERROR(VLOOKUP(J155,Lists!$I$1:$J$21,2,FALSE),"")</f>
        <v/>
      </c>
      <c r="L155" s="22"/>
      <c r="M155" s="22"/>
      <c r="N155" s="22"/>
      <c r="O155" s="22"/>
      <c r="P155" s="22"/>
      <c r="Q155" s="22"/>
      <c r="R155" s="22"/>
      <c r="S155" s="23"/>
      <c r="T155" s="23"/>
      <c r="U155" s="22"/>
      <c r="V155" s="22"/>
      <c r="W155" s="24"/>
      <c r="X155" s="24"/>
      <c r="Y155" s="22"/>
      <c r="Z155" s="21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7" t="str">
        <f t="shared" si="12"/>
        <v>No</v>
      </c>
      <c r="AV155" s="22"/>
      <c r="AW155" s="22"/>
      <c r="AX155" s="22"/>
      <c r="AY155" s="22"/>
    </row>
    <row r="156" spans="1:51" x14ac:dyDescent="0.35">
      <c r="A156" s="9">
        <f t="shared" si="13"/>
        <v>155</v>
      </c>
      <c r="J156" s="22"/>
      <c r="K156" s="10" t="str">
        <f>IFERROR(VLOOKUP(J156,Lists!$I$1:$J$21,2,FALSE),"")</f>
        <v/>
      </c>
      <c r="L156" s="22"/>
      <c r="M156" s="22"/>
      <c r="N156" s="22"/>
      <c r="O156" s="22"/>
      <c r="P156" s="22"/>
      <c r="Q156" s="22"/>
      <c r="R156" s="22"/>
      <c r="S156" s="23"/>
      <c r="T156" s="23"/>
      <c r="U156" s="22"/>
      <c r="V156" s="22"/>
      <c r="W156" s="24"/>
      <c r="X156" s="24"/>
      <c r="Y156" s="22"/>
      <c r="Z156" s="21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7" t="str">
        <f t="shared" si="12"/>
        <v>No</v>
      </c>
      <c r="AV156" s="22"/>
      <c r="AW156" s="22"/>
      <c r="AX156" s="22"/>
      <c r="AY156" s="22"/>
    </row>
    <row r="157" spans="1:51" x14ac:dyDescent="0.35">
      <c r="A157" s="9">
        <f t="shared" si="13"/>
        <v>156</v>
      </c>
      <c r="J157" s="22"/>
      <c r="K157" s="10" t="str">
        <f>IFERROR(VLOOKUP(J157,Lists!$I$1:$J$21,2,FALSE),"")</f>
        <v/>
      </c>
      <c r="L157" s="22"/>
      <c r="M157" s="22"/>
      <c r="N157" s="22"/>
      <c r="O157" s="22"/>
      <c r="P157" s="22"/>
      <c r="Q157" s="22"/>
      <c r="R157" s="22"/>
      <c r="S157" s="23"/>
      <c r="T157" s="23"/>
      <c r="U157" s="22"/>
      <c r="V157" s="22"/>
      <c r="W157" s="24"/>
      <c r="X157" s="24"/>
      <c r="Y157" s="22"/>
      <c r="Z157" s="21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7" t="str">
        <f t="shared" si="12"/>
        <v>No</v>
      </c>
      <c r="AV157" s="22"/>
      <c r="AW157" s="22"/>
      <c r="AX157" s="22"/>
      <c r="AY157" s="22"/>
    </row>
    <row r="158" spans="1:51" x14ac:dyDescent="0.35">
      <c r="A158" s="9">
        <f t="shared" si="13"/>
        <v>157</v>
      </c>
      <c r="J158" s="22"/>
      <c r="K158" s="10" t="str">
        <f>IFERROR(VLOOKUP(J158,Lists!$I$1:$J$21,2,FALSE),"")</f>
        <v/>
      </c>
      <c r="L158" s="22"/>
      <c r="M158" s="22"/>
      <c r="N158" s="22"/>
      <c r="O158" s="22"/>
      <c r="P158" s="22"/>
      <c r="Q158" s="22"/>
      <c r="R158" s="22"/>
      <c r="S158" s="23"/>
      <c r="T158" s="23"/>
      <c r="U158" s="22"/>
      <c r="V158" s="22"/>
      <c r="W158" s="24"/>
      <c r="X158" s="24"/>
      <c r="Y158" s="22"/>
      <c r="Z158" s="21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7" t="str">
        <f t="shared" si="12"/>
        <v>No</v>
      </c>
      <c r="AV158" s="22"/>
      <c r="AW158" s="22"/>
      <c r="AX158" s="22"/>
      <c r="AY158" s="22"/>
    </row>
    <row r="159" spans="1:51" x14ac:dyDescent="0.35">
      <c r="A159" s="9">
        <f t="shared" si="13"/>
        <v>158</v>
      </c>
      <c r="J159" s="22"/>
      <c r="K159" s="10" t="str">
        <f>IFERROR(VLOOKUP(J159,Lists!$I$1:$J$21,2,FALSE),"")</f>
        <v/>
      </c>
      <c r="L159" s="22"/>
      <c r="M159" s="22"/>
      <c r="N159" s="22"/>
      <c r="O159" s="22"/>
      <c r="P159" s="22"/>
      <c r="Q159" s="22"/>
      <c r="R159" s="22"/>
      <c r="S159" s="23"/>
      <c r="T159" s="23"/>
      <c r="U159" s="22"/>
      <c r="V159" s="22"/>
      <c r="W159" s="24"/>
      <c r="X159" s="24"/>
      <c r="Y159" s="22"/>
      <c r="Z159" s="21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7" t="str">
        <f t="shared" si="12"/>
        <v>No</v>
      </c>
      <c r="AV159" s="22"/>
      <c r="AW159" s="22"/>
      <c r="AX159" s="22"/>
      <c r="AY159" s="22"/>
    </row>
    <row r="160" spans="1:51" x14ac:dyDescent="0.35">
      <c r="A160" s="9">
        <f t="shared" si="13"/>
        <v>159</v>
      </c>
      <c r="J160" s="22"/>
      <c r="K160" s="10" t="str">
        <f>IFERROR(VLOOKUP(J160,Lists!$I$1:$J$21,2,FALSE),"")</f>
        <v/>
      </c>
      <c r="L160" s="22"/>
      <c r="M160" s="22"/>
      <c r="N160" s="22"/>
      <c r="O160" s="22"/>
      <c r="P160" s="22"/>
      <c r="Q160" s="22"/>
      <c r="R160" s="22"/>
      <c r="S160" s="23"/>
      <c r="T160" s="23"/>
      <c r="U160" s="22"/>
      <c r="V160" s="22"/>
      <c r="W160" s="24"/>
      <c r="X160" s="24"/>
      <c r="Y160" s="22"/>
      <c r="Z160" s="21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7" t="str">
        <f t="shared" si="12"/>
        <v>No</v>
      </c>
      <c r="AV160" s="22"/>
      <c r="AW160" s="22"/>
      <c r="AX160" s="22"/>
      <c r="AY160" s="22"/>
    </row>
    <row r="161" spans="1:51" x14ac:dyDescent="0.35">
      <c r="A161" s="9">
        <f t="shared" si="13"/>
        <v>160</v>
      </c>
      <c r="J161" s="22"/>
      <c r="K161" s="10" t="str">
        <f>IFERROR(VLOOKUP(J161,Lists!$I$1:$J$21,2,FALSE),"")</f>
        <v/>
      </c>
      <c r="L161" s="22"/>
      <c r="M161" s="22"/>
      <c r="N161" s="22"/>
      <c r="O161" s="22"/>
      <c r="P161" s="22"/>
      <c r="Q161" s="22"/>
      <c r="R161" s="22"/>
      <c r="S161" s="23"/>
      <c r="T161" s="23"/>
      <c r="U161" s="22"/>
      <c r="V161" s="22"/>
      <c r="W161" s="24"/>
      <c r="X161" s="24"/>
      <c r="Y161" s="22"/>
      <c r="Z161" s="21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7" t="str">
        <f t="shared" si="12"/>
        <v>No</v>
      </c>
      <c r="AV161" s="22"/>
      <c r="AW161" s="22"/>
      <c r="AX161" s="22"/>
      <c r="AY161" s="22"/>
    </row>
    <row r="162" spans="1:51" x14ac:dyDescent="0.35">
      <c r="A162" s="9">
        <f t="shared" si="13"/>
        <v>161</v>
      </c>
      <c r="J162" s="22"/>
      <c r="K162" s="10" t="str">
        <f>IFERROR(VLOOKUP(J162,Lists!$I$1:$J$21,2,FALSE),"")</f>
        <v/>
      </c>
      <c r="L162" s="22"/>
      <c r="M162" s="22"/>
      <c r="N162" s="22"/>
      <c r="O162" s="22"/>
      <c r="P162" s="22"/>
      <c r="Q162" s="22"/>
      <c r="R162" s="22"/>
      <c r="S162" s="23"/>
      <c r="T162" s="23"/>
      <c r="U162" s="22"/>
      <c r="V162" s="22"/>
      <c r="W162" s="24"/>
      <c r="X162" s="24"/>
      <c r="Y162" s="22"/>
      <c r="Z162" s="21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7" t="str">
        <f t="shared" ref="AU162:AU193" si="14">IF(COUNTIF(AJ162:AT162,"Yes")=COLUMNS(AJ162:AT162),"Yes","No")</f>
        <v>No</v>
      </c>
      <c r="AV162" s="22"/>
      <c r="AW162" s="22"/>
      <c r="AX162" s="22"/>
      <c r="AY162" s="22"/>
    </row>
    <row r="163" spans="1:51" x14ac:dyDescent="0.35">
      <c r="A163" s="9">
        <f t="shared" si="13"/>
        <v>162</v>
      </c>
      <c r="J163" s="22"/>
      <c r="K163" s="10" t="str">
        <f>IFERROR(VLOOKUP(J163,Lists!$I$1:$J$21,2,FALSE),"")</f>
        <v/>
      </c>
      <c r="L163" s="22"/>
      <c r="M163" s="22"/>
      <c r="N163" s="22"/>
      <c r="O163" s="22"/>
      <c r="P163" s="22"/>
      <c r="Q163" s="22"/>
      <c r="R163" s="22"/>
      <c r="S163" s="23"/>
      <c r="T163" s="23"/>
      <c r="U163" s="22"/>
      <c r="V163" s="22"/>
      <c r="W163" s="24"/>
      <c r="X163" s="24"/>
      <c r="Y163" s="22"/>
      <c r="Z163" s="21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7" t="str">
        <f t="shared" si="14"/>
        <v>No</v>
      </c>
      <c r="AV163" s="22"/>
      <c r="AW163" s="22"/>
      <c r="AX163" s="22"/>
      <c r="AY163" s="22"/>
    </row>
    <row r="164" spans="1:51" x14ac:dyDescent="0.35">
      <c r="A164" s="9">
        <f t="shared" si="13"/>
        <v>163</v>
      </c>
      <c r="J164" s="22"/>
      <c r="K164" s="10" t="str">
        <f>IFERROR(VLOOKUP(J164,Lists!$I$1:$J$21,2,FALSE),"")</f>
        <v/>
      </c>
      <c r="L164" s="22"/>
      <c r="M164" s="22"/>
      <c r="N164" s="22"/>
      <c r="O164" s="22"/>
      <c r="P164" s="22"/>
      <c r="Q164" s="22"/>
      <c r="R164" s="22"/>
      <c r="S164" s="23"/>
      <c r="T164" s="23"/>
      <c r="U164" s="22"/>
      <c r="V164" s="22"/>
      <c r="W164" s="24"/>
      <c r="X164" s="24"/>
      <c r="Y164" s="22"/>
      <c r="Z164" s="21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7" t="str">
        <f t="shared" si="14"/>
        <v>No</v>
      </c>
      <c r="AV164" s="22"/>
      <c r="AW164" s="22"/>
      <c r="AX164" s="22"/>
      <c r="AY164" s="22"/>
    </row>
    <row r="165" spans="1:51" x14ac:dyDescent="0.35">
      <c r="A165" s="9">
        <f t="shared" si="13"/>
        <v>164</v>
      </c>
      <c r="J165" s="22"/>
      <c r="K165" s="10" t="str">
        <f>IFERROR(VLOOKUP(J165,Lists!$I$1:$J$21,2,FALSE),"")</f>
        <v/>
      </c>
      <c r="L165" s="22"/>
      <c r="M165" s="22"/>
      <c r="N165" s="22"/>
      <c r="O165" s="22"/>
      <c r="P165" s="22"/>
      <c r="Q165" s="22"/>
      <c r="R165" s="22"/>
      <c r="S165" s="23"/>
      <c r="T165" s="23"/>
      <c r="U165" s="22"/>
      <c r="V165" s="22"/>
      <c r="W165" s="24"/>
      <c r="X165" s="24"/>
      <c r="Y165" s="22"/>
      <c r="Z165" s="21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7" t="str">
        <f t="shared" si="14"/>
        <v>No</v>
      </c>
      <c r="AV165" s="22"/>
      <c r="AW165" s="22"/>
      <c r="AX165" s="22"/>
      <c r="AY165" s="22"/>
    </row>
    <row r="166" spans="1:51" x14ac:dyDescent="0.35">
      <c r="A166" s="9">
        <f t="shared" si="13"/>
        <v>165</v>
      </c>
      <c r="J166" s="22"/>
      <c r="K166" s="10" t="str">
        <f>IFERROR(VLOOKUP(J166,Lists!$I$1:$J$21,2,FALSE),"")</f>
        <v/>
      </c>
      <c r="L166" s="22"/>
      <c r="M166" s="22"/>
      <c r="N166" s="22"/>
      <c r="O166" s="22"/>
      <c r="P166" s="22"/>
      <c r="Q166" s="22"/>
      <c r="R166" s="22"/>
      <c r="S166" s="23"/>
      <c r="T166" s="23"/>
      <c r="U166" s="22"/>
      <c r="V166" s="22"/>
      <c r="W166" s="24"/>
      <c r="X166" s="24"/>
      <c r="Y166" s="22"/>
      <c r="Z166" s="21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7" t="str">
        <f t="shared" si="14"/>
        <v>No</v>
      </c>
      <c r="AV166" s="22"/>
      <c r="AW166" s="22"/>
      <c r="AX166" s="22"/>
      <c r="AY166" s="22"/>
    </row>
    <row r="167" spans="1:51" x14ac:dyDescent="0.35">
      <c r="A167" s="9">
        <f t="shared" si="13"/>
        <v>166</v>
      </c>
      <c r="J167" s="22"/>
      <c r="K167" s="10" t="str">
        <f>IFERROR(VLOOKUP(J167,Lists!$I$1:$J$21,2,FALSE),"")</f>
        <v/>
      </c>
      <c r="L167" s="22"/>
      <c r="M167" s="22"/>
      <c r="N167" s="22"/>
      <c r="O167" s="22"/>
      <c r="P167" s="22"/>
      <c r="Q167" s="22"/>
      <c r="R167" s="22"/>
      <c r="S167" s="23"/>
      <c r="T167" s="23"/>
      <c r="U167" s="22"/>
      <c r="V167" s="22"/>
      <c r="W167" s="24"/>
      <c r="X167" s="24"/>
      <c r="Y167" s="22"/>
      <c r="Z167" s="21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7" t="str">
        <f t="shared" si="14"/>
        <v>No</v>
      </c>
      <c r="AV167" s="22"/>
      <c r="AW167" s="22"/>
      <c r="AX167" s="22"/>
      <c r="AY167" s="22"/>
    </row>
    <row r="168" spans="1:51" x14ac:dyDescent="0.35">
      <c r="A168" s="9">
        <f t="shared" si="13"/>
        <v>167</v>
      </c>
      <c r="J168" s="22"/>
      <c r="K168" s="10" t="str">
        <f>IFERROR(VLOOKUP(J168,Lists!$I$1:$J$21,2,FALSE),"")</f>
        <v/>
      </c>
      <c r="L168" s="22"/>
      <c r="M168" s="22"/>
      <c r="N168" s="22"/>
      <c r="O168" s="22"/>
      <c r="P168" s="22"/>
      <c r="Q168" s="22"/>
      <c r="R168" s="22"/>
      <c r="S168" s="23"/>
      <c r="T168" s="23"/>
      <c r="U168" s="22"/>
      <c r="V168" s="22"/>
      <c r="W168" s="24"/>
      <c r="X168" s="24"/>
      <c r="Y168" s="22"/>
      <c r="Z168" s="21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7" t="str">
        <f t="shared" si="14"/>
        <v>No</v>
      </c>
      <c r="AV168" s="22"/>
      <c r="AW168" s="22"/>
      <c r="AX168" s="22"/>
      <c r="AY168" s="22"/>
    </row>
    <row r="169" spans="1:51" x14ac:dyDescent="0.35">
      <c r="A169" s="9">
        <f t="shared" si="13"/>
        <v>168</v>
      </c>
      <c r="J169" s="22"/>
      <c r="K169" s="10" t="str">
        <f>IFERROR(VLOOKUP(J169,Lists!$I$1:$J$21,2,FALSE),"")</f>
        <v/>
      </c>
      <c r="L169" s="22"/>
      <c r="M169" s="22"/>
      <c r="N169" s="22"/>
      <c r="O169" s="22"/>
      <c r="P169" s="22"/>
      <c r="Q169" s="22"/>
      <c r="R169" s="22"/>
      <c r="S169" s="23"/>
      <c r="T169" s="23"/>
      <c r="U169" s="22"/>
      <c r="V169" s="22"/>
      <c r="W169" s="24"/>
      <c r="X169" s="24"/>
      <c r="Y169" s="22"/>
      <c r="Z169" s="21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7" t="str">
        <f t="shared" si="14"/>
        <v>No</v>
      </c>
      <c r="AV169" s="22"/>
      <c r="AW169" s="22"/>
      <c r="AX169" s="22"/>
      <c r="AY169" s="22"/>
    </row>
    <row r="170" spans="1:51" x14ac:dyDescent="0.35">
      <c r="A170" s="9">
        <f t="shared" si="13"/>
        <v>169</v>
      </c>
      <c r="J170" s="22"/>
      <c r="K170" s="10" t="str">
        <f>IFERROR(VLOOKUP(J170,Lists!$I$1:$J$21,2,FALSE),"")</f>
        <v/>
      </c>
      <c r="L170" s="22"/>
      <c r="M170" s="22"/>
      <c r="N170" s="22"/>
      <c r="O170" s="22"/>
      <c r="P170" s="22"/>
      <c r="Q170" s="22"/>
      <c r="R170" s="22"/>
      <c r="S170" s="23"/>
      <c r="T170" s="23"/>
      <c r="U170" s="22"/>
      <c r="V170" s="22"/>
      <c r="W170" s="24"/>
      <c r="X170" s="24"/>
      <c r="Y170" s="22"/>
      <c r="Z170" s="21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7" t="str">
        <f t="shared" si="14"/>
        <v>No</v>
      </c>
      <c r="AV170" s="22"/>
      <c r="AW170" s="22"/>
      <c r="AX170" s="22"/>
      <c r="AY170" s="22"/>
    </row>
    <row r="171" spans="1:51" x14ac:dyDescent="0.35">
      <c r="A171" s="9">
        <f t="shared" si="13"/>
        <v>170</v>
      </c>
      <c r="J171" s="22"/>
      <c r="K171" s="10" t="str">
        <f>IFERROR(VLOOKUP(J171,Lists!$I$1:$J$21,2,FALSE),"")</f>
        <v/>
      </c>
      <c r="L171" s="22"/>
      <c r="M171" s="22"/>
      <c r="N171" s="22"/>
      <c r="O171" s="22"/>
      <c r="P171" s="22"/>
      <c r="Q171" s="22"/>
      <c r="R171" s="22"/>
      <c r="S171" s="23"/>
      <c r="T171" s="23"/>
      <c r="U171" s="22"/>
      <c r="V171" s="22"/>
      <c r="W171" s="24"/>
      <c r="X171" s="24"/>
      <c r="Y171" s="22"/>
      <c r="Z171" s="21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7" t="str">
        <f t="shared" si="14"/>
        <v>No</v>
      </c>
      <c r="AV171" s="22"/>
      <c r="AW171" s="22"/>
      <c r="AX171" s="22"/>
      <c r="AY171" s="22"/>
    </row>
    <row r="172" spans="1:51" x14ac:dyDescent="0.35">
      <c r="A172" s="9">
        <f t="shared" si="13"/>
        <v>171</v>
      </c>
      <c r="J172" s="22"/>
      <c r="K172" s="10" t="str">
        <f>IFERROR(VLOOKUP(J172,Lists!$I$1:$J$21,2,FALSE),"")</f>
        <v/>
      </c>
      <c r="L172" s="22"/>
      <c r="M172" s="22"/>
      <c r="N172" s="22"/>
      <c r="O172" s="22"/>
      <c r="P172" s="22"/>
      <c r="Q172" s="22"/>
      <c r="R172" s="22"/>
      <c r="S172" s="23"/>
      <c r="T172" s="23"/>
      <c r="U172" s="22"/>
      <c r="V172" s="22"/>
      <c r="W172" s="24"/>
      <c r="X172" s="24"/>
      <c r="Y172" s="22"/>
      <c r="Z172" s="21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7" t="str">
        <f t="shared" si="14"/>
        <v>No</v>
      </c>
      <c r="AV172" s="22"/>
      <c r="AW172" s="22"/>
      <c r="AX172" s="22"/>
      <c r="AY172" s="22"/>
    </row>
    <row r="173" spans="1:51" x14ac:dyDescent="0.35">
      <c r="A173" s="9">
        <f t="shared" si="13"/>
        <v>172</v>
      </c>
      <c r="J173" s="22"/>
      <c r="K173" s="10" t="str">
        <f>IFERROR(VLOOKUP(J173,Lists!$I$1:$J$21,2,FALSE),"")</f>
        <v/>
      </c>
      <c r="L173" s="22"/>
      <c r="M173" s="22"/>
      <c r="N173" s="22"/>
      <c r="O173" s="22"/>
      <c r="P173" s="22"/>
      <c r="Q173" s="22"/>
      <c r="R173" s="22"/>
      <c r="S173" s="23"/>
      <c r="T173" s="23"/>
      <c r="U173" s="22"/>
      <c r="V173" s="22"/>
      <c r="W173" s="24"/>
      <c r="X173" s="24"/>
      <c r="Y173" s="22"/>
      <c r="Z173" s="21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7" t="str">
        <f t="shared" si="14"/>
        <v>No</v>
      </c>
      <c r="AV173" s="22"/>
      <c r="AW173" s="22"/>
      <c r="AX173" s="22"/>
      <c r="AY173" s="22"/>
    </row>
    <row r="174" spans="1:51" x14ac:dyDescent="0.35">
      <c r="A174" s="9">
        <f t="shared" si="13"/>
        <v>173</v>
      </c>
      <c r="J174" s="22"/>
      <c r="K174" s="10" t="str">
        <f>IFERROR(VLOOKUP(J174,Lists!$I$1:$J$21,2,FALSE),"")</f>
        <v/>
      </c>
      <c r="L174" s="22"/>
      <c r="M174" s="22"/>
      <c r="N174" s="22"/>
      <c r="O174" s="22"/>
      <c r="P174" s="22"/>
      <c r="Q174" s="22"/>
      <c r="R174" s="22"/>
      <c r="S174" s="23"/>
      <c r="T174" s="23"/>
      <c r="U174" s="22"/>
      <c r="V174" s="22"/>
      <c r="W174" s="24"/>
      <c r="X174" s="24"/>
      <c r="Y174" s="22"/>
      <c r="Z174" s="21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7" t="str">
        <f t="shared" si="14"/>
        <v>No</v>
      </c>
      <c r="AV174" s="22"/>
      <c r="AW174" s="22"/>
      <c r="AX174" s="22"/>
      <c r="AY174" s="22"/>
    </row>
    <row r="175" spans="1:51" x14ac:dyDescent="0.35">
      <c r="A175" s="9">
        <f t="shared" si="13"/>
        <v>174</v>
      </c>
      <c r="J175" s="22"/>
      <c r="K175" s="10" t="str">
        <f>IFERROR(VLOOKUP(J175,Lists!$I$1:$J$21,2,FALSE),"")</f>
        <v/>
      </c>
      <c r="L175" s="22"/>
      <c r="M175" s="22"/>
      <c r="N175" s="22"/>
      <c r="O175" s="22"/>
      <c r="P175" s="22"/>
      <c r="Q175" s="22"/>
      <c r="R175" s="22"/>
      <c r="S175" s="23"/>
      <c r="T175" s="23"/>
      <c r="U175" s="22"/>
      <c r="V175" s="22"/>
      <c r="W175" s="24"/>
      <c r="X175" s="24"/>
      <c r="Y175" s="22"/>
      <c r="Z175" s="21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7" t="str">
        <f t="shared" si="14"/>
        <v>No</v>
      </c>
      <c r="AV175" s="22"/>
      <c r="AW175" s="22"/>
      <c r="AX175" s="22"/>
      <c r="AY175" s="22"/>
    </row>
    <row r="176" spans="1:51" x14ac:dyDescent="0.35">
      <c r="A176" s="9">
        <f t="shared" si="13"/>
        <v>175</v>
      </c>
      <c r="J176" s="22"/>
      <c r="K176" s="10" t="str">
        <f>IFERROR(VLOOKUP(J176,Lists!$I$1:$J$21,2,FALSE),"")</f>
        <v/>
      </c>
      <c r="L176" s="22"/>
      <c r="M176" s="22"/>
      <c r="N176" s="22"/>
      <c r="O176" s="22"/>
      <c r="P176" s="22"/>
      <c r="Q176" s="22"/>
      <c r="R176" s="22"/>
      <c r="S176" s="23"/>
      <c r="T176" s="23"/>
      <c r="U176" s="22"/>
      <c r="V176" s="22"/>
      <c r="W176" s="24"/>
      <c r="X176" s="24"/>
      <c r="Y176" s="22"/>
      <c r="Z176" s="21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7" t="str">
        <f t="shared" si="14"/>
        <v>No</v>
      </c>
      <c r="AV176" s="22"/>
      <c r="AW176" s="22"/>
      <c r="AX176" s="22"/>
      <c r="AY176" s="22"/>
    </row>
    <row r="177" spans="1:51" x14ac:dyDescent="0.35">
      <c r="A177" s="9">
        <f t="shared" si="13"/>
        <v>176</v>
      </c>
      <c r="J177" s="22"/>
      <c r="K177" s="10" t="str">
        <f>IFERROR(VLOOKUP(J177,Lists!$I$1:$J$21,2,FALSE),"")</f>
        <v/>
      </c>
      <c r="L177" s="22"/>
      <c r="M177" s="22"/>
      <c r="N177" s="22"/>
      <c r="O177" s="22"/>
      <c r="P177" s="22"/>
      <c r="Q177" s="22"/>
      <c r="R177" s="22"/>
      <c r="S177" s="23"/>
      <c r="T177" s="23"/>
      <c r="U177" s="22"/>
      <c r="V177" s="22"/>
      <c r="W177" s="24"/>
      <c r="X177" s="24"/>
      <c r="Y177" s="22"/>
      <c r="Z177" s="21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7" t="str">
        <f t="shared" si="14"/>
        <v>No</v>
      </c>
      <c r="AV177" s="22"/>
      <c r="AW177" s="22"/>
      <c r="AX177" s="22"/>
      <c r="AY177" s="22"/>
    </row>
    <row r="178" spans="1:51" x14ac:dyDescent="0.35">
      <c r="A178" s="9">
        <f t="shared" si="13"/>
        <v>177</v>
      </c>
      <c r="J178" s="22"/>
      <c r="K178" s="10" t="str">
        <f>IFERROR(VLOOKUP(J178,Lists!$I$1:$J$21,2,FALSE),"")</f>
        <v/>
      </c>
      <c r="L178" s="22"/>
      <c r="M178" s="22"/>
      <c r="N178" s="22"/>
      <c r="O178" s="22"/>
      <c r="P178" s="22"/>
      <c r="Q178" s="22"/>
      <c r="R178" s="22"/>
      <c r="S178" s="23"/>
      <c r="T178" s="23"/>
      <c r="U178" s="22"/>
      <c r="V178" s="22"/>
      <c r="W178" s="24"/>
      <c r="X178" s="24"/>
      <c r="Y178" s="22"/>
      <c r="Z178" s="21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7" t="str">
        <f t="shared" si="14"/>
        <v>No</v>
      </c>
      <c r="AV178" s="22"/>
      <c r="AW178" s="22"/>
      <c r="AX178" s="22"/>
      <c r="AY178" s="22"/>
    </row>
    <row r="179" spans="1:51" x14ac:dyDescent="0.35">
      <c r="A179" s="9">
        <f t="shared" si="13"/>
        <v>178</v>
      </c>
      <c r="J179" s="22"/>
      <c r="K179" s="10" t="str">
        <f>IFERROR(VLOOKUP(J179,Lists!$I$1:$J$21,2,FALSE),"")</f>
        <v/>
      </c>
      <c r="L179" s="22"/>
      <c r="M179" s="22"/>
      <c r="N179" s="22"/>
      <c r="O179" s="22"/>
      <c r="P179" s="22"/>
      <c r="Q179" s="22"/>
      <c r="R179" s="22"/>
      <c r="S179" s="23"/>
      <c r="T179" s="23"/>
      <c r="U179" s="22"/>
      <c r="V179" s="22"/>
      <c r="W179" s="24"/>
      <c r="X179" s="24"/>
      <c r="Y179" s="22"/>
      <c r="Z179" s="21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7" t="str">
        <f t="shared" si="14"/>
        <v>No</v>
      </c>
      <c r="AV179" s="22"/>
      <c r="AW179" s="22"/>
      <c r="AX179" s="22"/>
      <c r="AY179" s="22"/>
    </row>
    <row r="180" spans="1:51" x14ac:dyDescent="0.35">
      <c r="A180" s="9">
        <f t="shared" si="13"/>
        <v>179</v>
      </c>
      <c r="J180" s="22"/>
      <c r="K180" s="10" t="str">
        <f>IFERROR(VLOOKUP(J180,Lists!$I$1:$J$21,2,FALSE),"")</f>
        <v/>
      </c>
      <c r="L180" s="22"/>
      <c r="M180" s="22"/>
      <c r="N180" s="22"/>
      <c r="O180" s="22"/>
      <c r="P180" s="22"/>
      <c r="Q180" s="22"/>
      <c r="R180" s="22"/>
      <c r="S180" s="23"/>
      <c r="T180" s="23"/>
      <c r="U180" s="22"/>
      <c r="V180" s="22"/>
      <c r="W180" s="24"/>
      <c r="X180" s="24"/>
      <c r="Y180" s="22"/>
      <c r="Z180" s="21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7" t="str">
        <f t="shared" si="14"/>
        <v>No</v>
      </c>
      <c r="AV180" s="22"/>
      <c r="AW180" s="22"/>
      <c r="AX180" s="22"/>
      <c r="AY180" s="22"/>
    </row>
    <row r="181" spans="1:51" x14ac:dyDescent="0.35">
      <c r="A181" s="9">
        <f t="shared" si="13"/>
        <v>180</v>
      </c>
      <c r="J181" s="22"/>
      <c r="K181" s="10" t="str">
        <f>IFERROR(VLOOKUP(J181,Lists!$I$1:$J$21,2,FALSE),"")</f>
        <v/>
      </c>
      <c r="L181" s="22"/>
      <c r="M181" s="22"/>
      <c r="N181" s="22"/>
      <c r="O181" s="22"/>
      <c r="P181" s="22"/>
      <c r="Q181" s="22"/>
      <c r="R181" s="22"/>
      <c r="S181" s="23"/>
      <c r="T181" s="23"/>
      <c r="U181" s="22"/>
      <c r="V181" s="22"/>
      <c r="W181" s="24"/>
      <c r="X181" s="24"/>
      <c r="Y181" s="22"/>
      <c r="Z181" s="21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7" t="str">
        <f t="shared" si="14"/>
        <v>No</v>
      </c>
      <c r="AV181" s="22"/>
      <c r="AW181" s="22"/>
      <c r="AX181" s="22"/>
      <c r="AY181" s="22"/>
    </row>
    <row r="182" spans="1:51" x14ac:dyDescent="0.35">
      <c r="A182" s="9">
        <f t="shared" si="13"/>
        <v>181</v>
      </c>
      <c r="J182" s="22"/>
      <c r="K182" s="10" t="str">
        <f>IFERROR(VLOOKUP(J182,Lists!$I$1:$J$21,2,FALSE),"")</f>
        <v/>
      </c>
      <c r="L182" s="22"/>
      <c r="M182" s="22"/>
      <c r="N182" s="22"/>
      <c r="O182" s="22"/>
      <c r="P182" s="22"/>
      <c r="Q182" s="22"/>
      <c r="R182" s="22"/>
      <c r="S182" s="23"/>
      <c r="T182" s="23"/>
      <c r="U182" s="22"/>
      <c r="V182" s="22"/>
      <c r="W182" s="24"/>
      <c r="X182" s="24"/>
      <c r="Y182" s="22"/>
      <c r="Z182" s="21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7" t="str">
        <f t="shared" si="14"/>
        <v>No</v>
      </c>
      <c r="AV182" s="22"/>
      <c r="AW182" s="22"/>
      <c r="AX182" s="22"/>
      <c r="AY182" s="22"/>
    </row>
    <row r="183" spans="1:51" x14ac:dyDescent="0.35">
      <c r="A183" s="9">
        <f t="shared" si="13"/>
        <v>182</v>
      </c>
      <c r="J183" s="22"/>
      <c r="K183" s="10" t="str">
        <f>IFERROR(VLOOKUP(J183,Lists!$I$1:$J$21,2,FALSE),"")</f>
        <v/>
      </c>
      <c r="L183" s="22"/>
      <c r="M183" s="22"/>
      <c r="N183" s="22"/>
      <c r="O183" s="22"/>
      <c r="P183" s="22"/>
      <c r="Q183" s="22"/>
      <c r="R183" s="22"/>
      <c r="S183" s="23"/>
      <c r="T183" s="23"/>
      <c r="U183" s="22"/>
      <c r="V183" s="22"/>
      <c r="W183" s="24"/>
      <c r="X183" s="24"/>
      <c r="Y183" s="22"/>
      <c r="Z183" s="21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7" t="str">
        <f t="shared" si="14"/>
        <v>No</v>
      </c>
      <c r="AV183" s="22"/>
      <c r="AW183" s="22"/>
      <c r="AX183" s="22"/>
      <c r="AY183" s="22"/>
    </row>
    <row r="184" spans="1:51" x14ac:dyDescent="0.35">
      <c r="A184" s="9">
        <f t="shared" si="13"/>
        <v>183</v>
      </c>
      <c r="J184" s="22"/>
      <c r="K184" s="10" t="str">
        <f>IFERROR(VLOOKUP(J184,Lists!$I$1:$J$21,2,FALSE),"")</f>
        <v/>
      </c>
      <c r="L184" s="22"/>
      <c r="M184" s="22"/>
      <c r="N184" s="22"/>
      <c r="O184" s="22"/>
      <c r="P184" s="22"/>
      <c r="Q184" s="22"/>
      <c r="R184" s="22"/>
      <c r="S184" s="23"/>
      <c r="T184" s="23"/>
      <c r="U184" s="22"/>
      <c r="V184" s="22"/>
      <c r="W184" s="24"/>
      <c r="X184" s="24"/>
      <c r="Y184" s="22"/>
      <c r="Z184" s="21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7" t="str">
        <f t="shared" si="14"/>
        <v>No</v>
      </c>
      <c r="AV184" s="22"/>
      <c r="AW184" s="22"/>
      <c r="AX184" s="22"/>
      <c r="AY184" s="22"/>
    </row>
    <row r="185" spans="1:51" x14ac:dyDescent="0.35">
      <c r="A185" s="9">
        <f t="shared" si="13"/>
        <v>184</v>
      </c>
      <c r="J185" s="22"/>
      <c r="K185" s="10" t="str">
        <f>IFERROR(VLOOKUP(J185,Lists!$I$1:$J$21,2,FALSE),"")</f>
        <v/>
      </c>
      <c r="L185" s="22"/>
      <c r="M185" s="22"/>
      <c r="N185" s="22"/>
      <c r="O185" s="22"/>
      <c r="P185" s="22"/>
      <c r="Q185" s="22"/>
      <c r="R185" s="22"/>
      <c r="S185" s="23"/>
      <c r="T185" s="23"/>
      <c r="U185" s="22"/>
      <c r="V185" s="22"/>
      <c r="W185" s="24"/>
      <c r="X185" s="24"/>
      <c r="Y185" s="22"/>
      <c r="Z185" s="21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7" t="str">
        <f t="shared" si="14"/>
        <v>No</v>
      </c>
      <c r="AV185" s="22"/>
      <c r="AW185" s="22"/>
      <c r="AX185" s="22"/>
      <c r="AY185" s="22"/>
    </row>
    <row r="186" spans="1:51" x14ac:dyDescent="0.35">
      <c r="A186" s="9">
        <f t="shared" si="13"/>
        <v>185</v>
      </c>
      <c r="J186" s="22"/>
      <c r="K186" s="10" t="str">
        <f>IFERROR(VLOOKUP(J186,Lists!$I$1:$J$21,2,FALSE),"")</f>
        <v/>
      </c>
      <c r="L186" s="22"/>
      <c r="M186" s="22"/>
      <c r="N186" s="22"/>
      <c r="O186" s="22"/>
      <c r="P186" s="22"/>
      <c r="Q186" s="22"/>
      <c r="R186" s="22"/>
      <c r="S186" s="23"/>
      <c r="T186" s="23"/>
      <c r="U186" s="22"/>
      <c r="V186" s="22"/>
      <c r="W186" s="24"/>
      <c r="X186" s="24"/>
      <c r="Y186" s="22"/>
      <c r="Z186" s="21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7" t="str">
        <f t="shared" si="14"/>
        <v>No</v>
      </c>
      <c r="AV186" s="22"/>
      <c r="AW186" s="22"/>
      <c r="AX186" s="22"/>
      <c r="AY186" s="22"/>
    </row>
    <row r="187" spans="1:51" x14ac:dyDescent="0.35">
      <c r="A187" s="9">
        <f t="shared" si="13"/>
        <v>186</v>
      </c>
      <c r="J187" s="22"/>
      <c r="K187" s="10" t="str">
        <f>IFERROR(VLOOKUP(J187,Lists!$I$1:$J$21,2,FALSE),"")</f>
        <v/>
      </c>
      <c r="L187" s="22"/>
      <c r="M187" s="22"/>
      <c r="N187" s="22"/>
      <c r="O187" s="22"/>
      <c r="P187" s="22"/>
      <c r="Q187" s="22"/>
      <c r="R187" s="22"/>
      <c r="S187" s="23"/>
      <c r="T187" s="23"/>
      <c r="U187" s="22"/>
      <c r="V187" s="22"/>
      <c r="W187" s="24"/>
      <c r="X187" s="24"/>
      <c r="Y187" s="22"/>
      <c r="Z187" s="21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7" t="str">
        <f t="shared" si="14"/>
        <v>No</v>
      </c>
      <c r="AV187" s="22"/>
      <c r="AW187" s="22"/>
      <c r="AX187" s="22"/>
      <c r="AY187" s="22"/>
    </row>
    <row r="188" spans="1:51" x14ac:dyDescent="0.35">
      <c r="A188" s="9">
        <f t="shared" si="13"/>
        <v>187</v>
      </c>
      <c r="J188" s="22"/>
      <c r="K188" s="10" t="str">
        <f>IFERROR(VLOOKUP(J188,Lists!$I$1:$J$21,2,FALSE),"")</f>
        <v/>
      </c>
      <c r="L188" s="22"/>
      <c r="M188" s="22"/>
      <c r="N188" s="22"/>
      <c r="O188" s="22"/>
      <c r="P188" s="22"/>
      <c r="Q188" s="22"/>
      <c r="R188" s="22"/>
      <c r="S188" s="23"/>
      <c r="T188" s="23"/>
      <c r="U188" s="22"/>
      <c r="V188" s="22"/>
      <c r="W188" s="24"/>
      <c r="X188" s="24"/>
      <c r="Y188" s="22"/>
      <c r="Z188" s="21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7" t="str">
        <f t="shared" si="14"/>
        <v>No</v>
      </c>
      <c r="AV188" s="22"/>
      <c r="AW188" s="22"/>
      <c r="AX188" s="22"/>
      <c r="AY188" s="22"/>
    </row>
    <row r="189" spans="1:51" x14ac:dyDescent="0.35">
      <c r="A189" s="9">
        <f t="shared" si="13"/>
        <v>188</v>
      </c>
      <c r="J189" s="22"/>
      <c r="K189" s="10" t="str">
        <f>IFERROR(VLOOKUP(J189,Lists!$I$1:$J$21,2,FALSE),"")</f>
        <v/>
      </c>
      <c r="L189" s="22"/>
      <c r="M189" s="22"/>
      <c r="N189" s="22"/>
      <c r="O189" s="22"/>
      <c r="P189" s="22"/>
      <c r="Q189" s="22"/>
      <c r="R189" s="22"/>
      <c r="S189" s="23"/>
      <c r="T189" s="23"/>
      <c r="U189" s="22"/>
      <c r="V189" s="22"/>
      <c r="W189" s="24"/>
      <c r="X189" s="24"/>
      <c r="Y189" s="22"/>
      <c r="Z189" s="21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7" t="str">
        <f t="shared" si="14"/>
        <v>No</v>
      </c>
      <c r="AV189" s="22"/>
      <c r="AW189" s="22"/>
      <c r="AX189" s="22"/>
      <c r="AY189" s="22"/>
    </row>
    <row r="190" spans="1:51" x14ac:dyDescent="0.35">
      <c r="A190" s="9">
        <f t="shared" si="13"/>
        <v>189</v>
      </c>
      <c r="J190" s="22"/>
      <c r="K190" s="10" t="str">
        <f>IFERROR(VLOOKUP(J190,Lists!$I$1:$J$21,2,FALSE),"")</f>
        <v/>
      </c>
      <c r="L190" s="22"/>
      <c r="M190" s="22"/>
      <c r="N190" s="22"/>
      <c r="O190" s="22"/>
      <c r="P190" s="22"/>
      <c r="Q190" s="22"/>
      <c r="R190" s="22"/>
      <c r="S190" s="23"/>
      <c r="T190" s="23"/>
      <c r="U190" s="22"/>
      <c r="V190" s="22"/>
      <c r="W190" s="24"/>
      <c r="X190" s="24"/>
      <c r="Y190" s="22"/>
      <c r="Z190" s="21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7" t="str">
        <f t="shared" si="14"/>
        <v>No</v>
      </c>
      <c r="AV190" s="22"/>
      <c r="AW190" s="22"/>
      <c r="AX190" s="22"/>
      <c r="AY190" s="22"/>
    </row>
    <row r="191" spans="1:51" x14ac:dyDescent="0.35">
      <c r="A191" s="9">
        <f t="shared" si="13"/>
        <v>190</v>
      </c>
      <c r="J191" s="22"/>
      <c r="K191" s="10" t="str">
        <f>IFERROR(VLOOKUP(J191,Lists!$I$1:$J$21,2,FALSE),"")</f>
        <v/>
      </c>
      <c r="L191" s="22"/>
      <c r="M191" s="22"/>
      <c r="N191" s="22"/>
      <c r="O191" s="22"/>
      <c r="P191" s="22"/>
      <c r="Q191" s="22"/>
      <c r="R191" s="22"/>
      <c r="S191" s="23"/>
      <c r="T191" s="23"/>
      <c r="U191" s="22"/>
      <c r="V191" s="22"/>
      <c r="W191" s="24"/>
      <c r="X191" s="24"/>
      <c r="Y191" s="22"/>
      <c r="Z191" s="21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7" t="str">
        <f t="shared" si="14"/>
        <v>No</v>
      </c>
      <c r="AV191" s="22"/>
      <c r="AW191" s="22"/>
      <c r="AX191" s="22"/>
      <c r="AY191" s="22"/>
    </row>
    <row r="192" spans="1:51" x14ac:dyDescent="0.35">
      <c r="A192" s="9">
        <f t="shared" si="13"/>
        <v>191</v>
      </c>
      <c r="J192" s="22"/>
      <c r="K192" s="10" t="str">
        <f>IFERROR(VLOOKUP(J192,Lists!$I$1:$J$21,2,FALSE),"")</f>
        <v/>
      </c>
      <c r="L192" s="22"/>
      <c r="M192" s="22"/>
      <c r="N192" s="22"/>
      <c r="O192" s="22"/>
      <c r="P192" s="22"/>
      <c r="Q192" s="22"/>
      <c r="R192" s="22"/>
      <c r="S192" s="23"/>
      <c r="T192" s="23"/>
      <c r="U192" s="22"/>
      <c r="V192" s="22"/>
      <c r="W192" s="24"/>
      <c r="X192" s="24"/>
      <c r="Y192" s="22"/>
      <c r="Z192" s="21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7" t="str">
        <f t="shared" si="14"/>
        <v>No</v>
      </c>
      <c r="AV192" s="22"/>
      <c r="AW192" s="22"/>
      <c r="AX192" s="22"/>
      <c r="AY192" s="22"/>
    </row>
    <row r="193" spans="1:51" x14ac:dyDescent="0.35">
      <c r="A193" s="9">
        <f t="shared" si="13"/>
        <v>192</v>
      </c>
      <c r="J193" s="22"/>
      <c r="K193" s="10" t="str">
        <f>IFERROR(VLOOKUP(J193,Lists!$I$1:$J$21,2,FALSE),"")</f>
        <v/>
      </c>
      <c r="L193" s="22"/>
      <c r="M193" s="22"/>
      <c r="N193" s="22"/>
      <c r="O193" s="22"/>
      <c r="P193" s="22"/>
      <c r="Q193" s="22"/>
      <c r="R193" s="22"/>
      <c r="S193" s="23"/>
      <c r="T193" s="23"/>
      <c r="U193" s="22"/>
      <c r="V193" s="22"/>
      <c r="W193" s="24"/>
      <c r="X193" s="24"/>
      <c r="Y193" s="22"/>
      <c r="Z193" s="21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7" t="str">
        <f t="shared" si="14"/>
        <v>No</v>
      </c>
      <c r="AV193" s="22"/>
      <c r="AW193" s="22"/>
      <c r="AX193" s="22"/>
      <c r="AY193" s="22"/>
    </row>
    <row r="194" spans="1:51" x14ac:dyDescent="0.35">
      <c r="A194" s="9">
        <f t="shared" si="13"/>
        <v>193</v>
      </c>
      <c r="J194" s="22"/>
      <c r="K194" s="10" t="str">
        <f>IFERROR(VLOOKUP(J194,Lists!$I$1:$J$21,2,FALSE),"")</f>
        <v/>
      </c>
      <c r="L194" s="22"/>
      <c r="M194" s="22"/>
      <c r="N194" s="22"/>
      <c r="O194" s="22"/>
      <c r="P194" s="22"/>
      <c r="Q194" s="22"/>
      <c r="R194" s="22"/>
      <c r="S194" s="23"/>
      <c r="T194" s="23"/>
      <c r="U194" s="22"/>
      <c r="V194" s="22"/>
      <c r="W194" s="24"/>
      <c r="X194" s="24"/>
      <c r="Y194" s="22"/>
      <c r="Z194" s="21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7" t="str">
        <f t="shared" ref="AU194:AU201" si="15">IF(COUNTIF(AJ194:AT194,"Yes")=COLUMNS(AJ194:AT194),"Yes","No")</f>
        <v>No</v>
      </c>
      <c r="AV194" s="22"/>
      <c r="AW194" s="22"/>
      <c r="AX194" s="22"/>
      <c r="AY194" s="22"/>
    </row>
    <row r="195" spans="1:51" x14ac:dyDescent="0.35">
      <c r="A195" s="9">
        <f t="shared" ref="A195:A201" si="16">ROW()-1</f>
        <v>194</v>
      </c>
      <c r="J195" s="22"/>
      <c r="K195" s="10" t="str">
        <f>IFERROR(VLOOKUP(J195,Lists!$I$1:$J$21,2,FALSE),"")</f>
        <v/>
      </c>
      <c r="L195" s="22"/>
      <c r="M195" s="22"/>
      <c r="N195" s="22"/>
      <c r="O195" s="22"/>
      <c r="P195" s="22"/>
      <c r="Q195" s="22"/>
      <c r="R195" s="22"/>
      <c r="S195" s="23"/>
      <c r="T195" s="23"/>
      <c r="U195" s="22"/>
      <c r="V195" s="22"/>
      <c r="W195" s="24"/>
      <c r="X195" s="24"/>
      <c r="Y195" s="22"/>
      <c r="Z195" s="21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7" t="str">
        <f t="shared" si="15"/>
        <v>No</v>
      </c>
      <c r="AV195" s="22"/>
      <c r="AW195" s="22"/>
      <c r="AX195" s="22"/>
      <c r="AY195" s="22"/>
    </row>
    <row r="196" spans="1:51" x14ac:dyDescent="0.35">
      <c r="A196" s="9">
        <f t="shared" si="16"/>
        <v>195</v>
      </c>
      <c r="J196" s="22"/>
      <c r="K196" s="10" t="str">
        <f>IFERROR(VLOOKUP(J196,Lists!$I$1:$J$21,2,FALSE),"")</f>
        <v/>
      </c>
      <c r="L196" s="22"/>
      <c r="M196" s="22"/>
      <c r="N196" s="22"/>
      <c r="O196" s="22"/>
      <c r="P196" s="22"/>
      <c r="Q196" s="22"/>
      <c r="R196" s="22"/>
      <c r="S196" s="23"/>
      <c r="T196" s="23"/>
      <c r="U196" s="22"/>
      <c r="V196" s="22"/>
      <c r="W196" s="24"/>
      <c r="X196" s="24"/>
      <c r="Y196" s="22"/>
      <c r="Z196" s="21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7" t="str">
        <f t="shared" si="15"/>
        <v>No</v>
      </c>
      <c r="AV196" s="22"/>
      <c r="AW196" s="22"/>
      <c r="AX196" s="22"/>
      <c r="AY196" s="22"/>
    </row>
    <row r="197" spans="1:51" x14ac:dyDescent="0.35">
      <c r="A197" s="9">
        <f t="shared" si="16"/>
        <v>196</v>
      </c>
      <c r="J197" s="22"/>
      <c r="K197" s="10" t="str">
        <f>IFERROR(VLOOKUP(J197,Lists!$I$1:$J$21,2,FALSE),"")</f>
        <v/>
      </c>
      <c r="L197" s="22"/>
      <c r="M197" s="22"/>
      <c r="N197" s="22"/>
      <c r="O197" s="22"/>
      <c r="P197" s="22"/>
      <c r="Q197" s="22"/>
      <c r="R197" s="22"/>
      <c r="S197" s="23"/>
      <c r="T197" s="23"/>
      <c r="U197" s="22"/>
      <c r="V197" s="22"/>
      <c r="W197" s="24"/>
      <c r="X197" s="24"/>
      <c r="Y197" s="22"/>
      <c r="Z197" s="21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7" t="str">
        <f t="shared" si="15"/>
        <v>No</v>
      </c>
      <c r="AV197" s="22"/>
      <c r="AW197" s="22"/>
      <c r="AX197" s="22"/>
      <c r="AY197" s="22"/>
    </row>
    <row r="198" spans="1:51" x14ac:dyDescent="0.35">
      <c r="A198" s="9">
        <f t="shared" si="16"/>
        <v>197</v>
      </c>
      <c r="J198" s="22"/>
      <c r="K198" s="10" t="str">
        <f>IFERROR(VLOOKUP(J198,Lists!$I$1:$J$21,2,FALSE),"")</f>
        <v/>
      </c>
      <c r="L198" s="22"/>
      <c r="M198" s="22"/>
      <c r="N198" s="22"/>
      <c r="O198" s="22"/>
      <c r="P198" s="22"/>
      <c r="Q198" s="22"/>
      <c r="R198" s="22"/>
      <c r="S198" s="23"/>
      <c r="T198" s="23"/>
      <c r="U198" s="22"/>
      <c r="V198" s="22"/>
      <c r="W198" s="24"/>
      <c r="X198" s="24"/>
      <c r="Y198" s="22"/>
      <c r="Z198" s="21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7" t="str">
        <f t="shared" si="15"/>
        <v>No</v>
      </c>
      <c r="AV198" s="22"/>
      <c r="AW198" s="22"/>
      <c r="AX198" s="22"/>
      <c r="AY198" s="22"/>
    </row>
    <row r="199" spans="1:51" x14ac:dyDescent="0.35">
      <c r="A199" s="9">
        <f t="shared" si="16"/>
        <v>198</v>
      </c>
      <c r="J199" s="22"/>
      <c r="K199" s="10" t="str">
        <f>IFERROR(VLOOKUP(J199,Lists!$I$1:$J$21,2,FALSE),"")</f>
        <v/>
      </c>
      <c r="L199" s="22"/>
      <c r="M199" s="22"/>
      <c r="N199" s="22"/>
      <c r="O199" s="22"/>
      <c r="P199" s="22"/>
      <c r="Q199" s="22"/>
      <c r="R199" s="22"/>
      <c r="S199" s="23"/>
      <c r="T199" s="23"/>
      <c r="U199" s="22"/>
      <c r="V199" s="22"/>
      <c r="W199" s="24"/>
      <c r="X199" s="24"/>
      <c r="Y199" s="22"/>
      <c r="Z199" s="21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7" t="str">
        <f t="shared" si="15"/>
        <v>No</v>
      </c>
      <c r="AV199" s="22"/>
      <c r="AW199" s="22"/>
      <c r="AX199" s="22"/>
      <c r="AY199" s="22"/>
    </row>
    <row r="200" spans="1:51" x14ac:dyDescent="0.35">
      <c r="A200" s="9">
        <f t="shared" si="16"/>
        <v>199</v>
      </c>
      <c r="J200" s="22"/>
      <c r="K200" s="10" t="str">
        <f>IFERROR(VLOOKUP(J200,Lists!$I$1:$J$21,2,FALSE),"")</f>
        <v/>
      </c>
      <c r="L200" s="22"/>
      <c r="M200" s="22"/>
      <c r="N200" s="22"/>
      <c r="O200" s="22"/>
      <c r="P200" s="22"/>
      <c r="Q200" s="22"/>
      <c r="R200" s="22"/>
      <c r="S200" s="23"/>
      <c r="T200" s="23"/>
      <c r="U200" s="22"/>
      <c r="V200" s="22"/>
      <c r="W200" s="24"/>
      <c r="X200" s="24"/>
      <c r="Y200" s="22"/>
      <c r="Z200" s="21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7" t="str">
        <f t="shared" si="15"/>
        <v>No</v>
      </c>
      <c r="AV200" s="22"/>
      <c r="AW200" s="22"/>
      <c r="AX200" s="22"/>
      <c r="AY200" s="22"/>
    </row>
    <row r="201" spans="1:51" x14ac:dyDescent="0.35">
      <c r="A201" s="9">
        <f t="shared" si="16"/>
        <v>200</v>
      </c>
      <c r="J201" s="22"/>
      <c r="K201" s="10" t="str">
        <f>IFERROR(VLOOKUP(J201,Lists!$I$1:$J$21,2,FALSE),"")</f>
        <v/>
      </c>
      <c r="L201" s="22"/>
      <c r="M201" s="22"/>
      <c r="N201" s="22"/>
      <c r="O201" s="22"/>
      <c r="P201" s="22"/>
      <c r="Q201" s="22"/>
      <c r="R201" s="22"/>
      <c r="S201" s="23"/>
      <c r="T201" s="23"/>
      <c r="U201" s="22"/>
      <c r="V201" s="22"/>
      <c r="W201" s="24"/>
      <c r="X201" s="24"/>
      <c r="Y201" s="22"/>
      <c r="Z201" s="21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7" t="str">
        <f t="shared" si="15"/>
        <v>No</v>
      </c>
      <c r="AV201" s="22"/>
      <c r="AW201" s="22"/>
      <c r="AX201" s="22"/>
      <c r="AY201" s="22"/>
    </row>
  </sheetData>
  <sheetProtection sheet="1" objects="1" scenarios="1"/>
  <dataValidations count="12">
    <dataValidation type="custom" allowBlank="1" sqref="B2:B51 A2:A201" xr:uid="{00000000-0002-0000-0000-00000B000000}">
      <formula1>OR(A2="",AND(ISNUMBER(A2),A2&gt;=0,LEN(TEXT(A2,"000000"))=6))</formula1>
    </dataValidation>
    <dataValidation type="custom" allowBlank="1" sqref="S2:T51" xr:uid="{00000000-0002-0000-0000-00000C000000}">
      <formula1>OR(S2="",AND(LEN(S2)=11,ISNUMBER(VALUE(S2))))</formula1>
    </dataValidation>
    <dataValidation type="custom" allowBlank="1" sqref="Z2:Z51" xr:uid="{00000000-0002-0000-0000-00000F000000}">
      <formula1>OR(Z2="",AND(LEN(Z2)=14,ISNUMBER(VALUE(Z2))))</formula1>
    </dataValidation>
    <dataValidation type="date" allowBlank="1" sqref="Q2:Q51 AA2:AA51 AC2:AD51 AW2:AX51" xr:uid="{00000000-0002-0000-0000-000012000000}">
      <formula1>DATE(1900,1,1)</formula1>
      <formula2>DATE(2100,12,31)</formula2>
    </dataValidation>
    <dataValidation type="custom" allowBlank="1" sqref="AD2:AD51" xr:uid="{00000000-0002-0000-0000-000018000000}">
      <formula1>OR(AD2="",AC2="",AD2&gt;AC2)</formula1>
    </dataValidation>
    <dataValidation allowBlank="1" sqref="K2:K201" xr:uid="{B86791BB-6B46-4627-BE96-8CDC77F11614}"/>
    <dataValidation type="list" sqref="N2:O201" xr:uid="{9F4EA511-FC8B-4ACA-B771-B48BED399381}">
      <formula1>"Yes,No"</formula1>
    </dataValidation>
    <dataValidation type="list" allowBlank="1" sqref="Y2:Y201 V2:V201 AJ2:AS201 AT2:AT201" xr:uid="{118B326D-2881-4DCF-895C-AE7E14050C80}">
      <formula1>"Yes,No"</formula1>
    </dataValidation>
    <dataValidation type="list" allowBlank="1" sqref="AE2:AF201" xr:uid="{9DAB76FF-5997-43D2-82C9-5D7BAD138651}">
      <formula1>"Male,Female"</formula1>
    </dataValidation>
    <dataValidation type="list" allowBlank="1" sqref="AG2:AG201" xr:uid="{8A894ACB-B5FE-4C8F-9B85-D103A0170D29}">
      <formula1>"Single,Married,Divorced"</formula1>
    </dataValidation>
    <dataValidation type="list" allowBlank="1" sqref="AH2:AH201" xr:uid="{AF6E9099-5332-40E4-ABB1-4B18392A6A73}">
      <formula1>"Muslim,Christian"</formula1>
    </dataValidation>
    <dataValidation type="whole" allowBlank="1" showInputMessage="1" showErrorMessage="1" sqref="U2:U201" xr:uid="{3A1F0385-E75D-4DBF-9FE8-DA9342DE9839}">
      <formula1>10000000</formula1>
      <formula2>88888888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2D6441E1-BFF9-498C-A237-7B4390B1AA13}">
          <x14:formula1>
            <xm:f>'SI Codes'!$A$2:$A$4999</xm:f>
          </x14:formula1>
          <xm:sqref>H2:H201</xm:sqref>
        </x14:dataValidation>
        <x14:dataValidation type="list" allowBlank="1" xr:uid="{00000000-0002-0000-0000-000000000000}">
          <x14:formula1>
            <xm:f>Lists!#REF!</xm:f>
          </x14:formula1>
          <xm:sqref>C2:C201</xm:sqref>
        </x14:dataValidation>
        <x14:dataValidation type="list" allowBlank="1" xr:uid="{49EF8328-9FE2-4597-A56E-50A1F69DEBB0}">
          <x14:formula1>
            <xm:f>Lists!$B$2:$B$4</xm:f>
          </x14:formula1>
          <xm:sqref>L2:L201</xm:sqref>
        </x14:dataValidation>
        <x14:dataValidation type="list" allowBlank="1" xr:uid="{A76C6C0A-EB1B-4073-8FE2-C202C583D13D}">
          <x14:formula1>
            <xm:f>Lists!$C$2:$C$3</xm:f>
          </x14:formula1>
          <xm:sqref>M2:M201</xm:sqref>
        </x14:dataValidation>
        <x14:dataValidation type="list" allowBlank="1" xr:uid="{DC5B0883-E48E-432A-918E-0B2105FCAF15}">
          <x14:formula1>
            <xm:f>Lists!$D$2:$D$4</xm:f>
          </x14:formula1>
          <xm:sqref>P2:P201</xm:sqref>
        </x14:dataValidation>
        <x14:dataValidation type="list" allowBlank="1" xr:uid="{79F838D3-1428-4535-A88E-96D5A24743CD}">
          <x14:formula1>
            <xm:f>Lists!$E$2:$E$4</xm:f>
          </x14:formula1>
          <xm:sqref>AF2:AF201</xm:sqref>
        </x14:dataValidation>
        <x14:dataValidation type="whole" allowBlank="1" showInputMessage="1" showErrorMessage="1" xr:uid="{D8D65584-AE43-429D-B06E-F4AC41D1B11A}">
          <x14:formula1>
            <xm:f>Lists!$F$2</xm:f>
          </x14:formula1>
          <x14:formula2>
            <xm:f>Lists!$F$3</xm:f>
          </x14:formula2>
          <xm:sqref>W2:W201</xm:sqref>
        </x14:dataValidation>
        <x14:dataValidation type="whole" allowBlank="1" showInputMessage="1" showErrorMessage="1" xr:uid="{13090049-E696-44C4-BAE4-D44C61F9FCCD}">
          <x14:formula1>
            <xm:f>Lists!$G$2</xm:f>
          </x14:formula1>
          <x14:formula2>
            <xm:f>Lists!$G$3</xm:f>
          </x14:formula2>
          <xm:sqref>X2:X201</xm:sqref>
        </x14:dataValidation>
        <x14:dataValidation type="list" allowBlank="1" xr:uid="{00000000-0002-0000-0000-000009000000}">
          <x14:formula1>
            <xm:f>Lists!$I$2:$I$21</xm:f>
          </x14:formula1>
          <xm:sqref>J2:J201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showGridLines="0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5.54296875" style="4" bestFit="1" customWidth="1"/>
    <col min="2" max="2" width="8.36328125" style="4" bestFit="1" customWidth="1"/>
    <col min="3" max="3" width="19.1796875" style="4" bestFit="1" customWidth="1"/>
    <col min="4" max="4" width="11.08984375" style="4" bestFit="1" customWidth="1"/>
    <col min="5" max="5" width="15.453125" style="4" bestFit="1" customWidth="1"/>
    <col min="6" max="6" width="15.26953125" style="4" bestFit="1" customWidth="1"/>
    <col min="7" max="7" width="14.90625" style="4" bestFit="1" customWidth="1"/>
    <col min="8" max="8" width="8.7265625" style="4"/>
    <col min="9" max="9" width="16.54296875" style="4" bestFit="1" customWidth="1"/>
    <col min="10" max="10" width="12.7265625" style="4" bestFit="1" customWidth="1"/>
    <col min="11" max="16384" width="8.7265625" style="4"/>
  </cols>
  <sheetData>
    <row r="1" spans="1:10" x14ac:dyDescent="0.35">
      <c r="A1" s="4" t="s">
        <v>31</v>
      </c>
      <c r="B1" s="4" t="s">
        <v>7</v>
      </c>
      <c r="C1" s="4" t="s">
        <v>41</v>
      </c>
      <c r="D1" s="4" t="s">
        <v>44</v>
      </c>
      <c r="E1" s="4" t="s">
        <v>52</v>
      </c>
      <c r="F1" s="4" t="s">
        <v>16</v>
      </c>
      <c r="G1" s="4" t="s">
        <v>17</v>
      </c>
      <c r="I1" s="27" t="s">
        <v>6</v>
      </c>
      <c r="J1" s="1" t="s">
        <v>58</v>
      </c>
    </row>
    <row r="2" spans="1:10" x14ac:dyDescent="0.35">
      <c r="A2" s="4" t="s">
        <v>32</v>
      </c>
      <c r="B2" s="4" t="s">
        <v>38</v>
      </c>
      <c r="C2" s="4" t="s">
        <v>42</v>
      </c>
      <c r="D2" s="4" t="s">
        <v>45</v>
      </c>
      <c r="E2" s="4" t="s">
        <v>53</v>
      </c>
      <c r="F2" s="25">
        <v>5500</v>
      </c>
      <c r="G2" s="25">
        <v>5500</v>
      </c>
      <c r="I2" s="4" t="s">
        <v>59</v>
      </c>
      <c r="J2" s="4" t="s">
        <v>3203</v>
      </c>
    </row>
    <row r="3" spans="1:10" x14ac:dyDescent="0.35">
      <c r="A3" s="4" t="s">
        <v>33</v>
      </c>
      <c r="B3" s="4" t="s">
        <v>39</v>
      </c>
      <c r="C3" s="4" t="s">
        <v>43</v>
      </c>
      <c r="D3" s="4" t="s">
        <v>46</v>
      </c>
      <c r="E3" s="4" t="s">
        <v>54</v>
      </c>
      <c r="F3" s="25">
        <v>16700</v>
      </c>
      <c r="G3" s="25">
        <f>Table4[[#This Row],[SI Basic Wage]]*1.3</f>
        <v>21710</v>
      </c>
      <c r="I3" s="4" t="s">
        <v>61</v>
      </c>
      <c r="J3" s="4" t="s">
        <v>62</v>
      </c>
    </row>
    <row r="4" spans="1:10" x14ac:dyDescent="0.35">
      <c r="A4" s="4" t="s">
        <v>34</v>
      </c>
      <c r="B4" s="4" t="s">
        <v>40</v>
      </c>
      <c r="D4" s="4" t="s">
        <v>47</v>
      </c>
      <c r="E4" s="4" t="s">
        <v>55</v>
      </c>
      <c r="G4" s="26"/>
      <c r="I4" s="4" t="s">
        <v>63</v>
      </c>
      <c r="J4" s="4" t="s">
        <v>62</v>
      </c>
    </row>
    <row r="5" spans="1:10" x14ac:dyDescent="0.35">
      <c r="A5" s="4" t="s">
        <v>35</v>
      </c>
      <c r="G5" s="26"/>
      <c r="I5" s="4" t="s">
        <v>64</v>
      </c>
      <c r="J5" s="4" t="s">
        <v>62</v>
      </c>
    </row>
    <row r="6" spans="1:10" x14ac:dyDescent="0.35">
      <c r="A6" s="4" t="s">
        <v>36</v>
      </c>
      <c r="G6" s="26"/>
      <c r="I6" s="4" t="s">
        <v>65</v>
      </c>
      <c r="J6" s="4" t="s">
        <v>62</v>
      </c>
    </row>
    <row r="7" spans="1:10" x14ac:dyDescent="0.35">
      <c r="A7" s="4" t="s">
        <v>37</v>
      </c>
      <c r="G7" s="26"/>
      <c r="I7" s="4" t="s">
        <v>66</v>
      </c>
      <c r="J7" s="4" t="s">
        <v>67</v>
      </c>
    </row>
    <row r="8" spans="1:10" x14ac:dyDescent="0.35">
      <c r="I8" s="4" t="s">
        <v>68</v>
      </c>
      <c r="J8" s="4" t="s">
        <v>67</v>
      </c>
    </row>
    <row r="9" spans="1:10" x14ac:dyDescent="0.35">
      <c r="I9" s="4" t="s">
        <v>69</v>
      </c>
      <c r="J9" s="4" t="s">
        <v>69</v>
      </c>
    </row>
    <row r="10" spans="1:10" x14ac:dyDescent="0.35">
      <c r="I10" s="4" t="s">
        <v>70</v>
      </c>
      <c r="J10" s="4" t="s">
        <v>69</v>
      </c>
    </row>
    <row r="11" spans="1:10" x14ac:dyDescent="0.35">
      <c r="I11" s="4" t="s">
        <v>71</v>
      </c>
      <c r="J11" s="4" t="s">
        <v>69</v>
      </c>
    </row>
    <row r="12" spans="1:10" x14ac:dyDescent="0.35">
      <c r="I12" s="4" t="s">
        <v>72</v>
      </c>
      <c r="J12" s="4" t="s">
        <v>73</v>
      </c>
    </row>
    <row r="13" spans="1:10" x14ac:dyDescent="0.35">
      <c r="I13" s="4" t="s">
        <v>74</v>
      </c>
      <c r="J13" s="4" t="s">
        <v>73</v>
      </c>
    </row>
    <row r="14" spans="1:10" x14ac:dyDescent="0.35">
      <c r="I14" s="4" t="s">
        <v>75</v>
      </c>
      <c r="J14" s="4" t="s">
        <v>73</v>
      </c>
    </row>
    <row r="15" spans="1:10" x14ac:dyDescent="0.35">
      <c r="I15" s="4" t="s">
        <v>60</v>
      </c>
      <c r="J15" s="4" t="s">
        <v>3205</v>
      </c>
    </row>
    <row r="16" spans="1:10" x14ac:dyDescent="0.35">
      <c r="I16" s="4" t="s">
        <v>3204</v>
      </c>
      <c r="J16" s="4" t="s">
        <v>3205</v>
      </c>
    </row>
    <row r="17" spans="9:10" x14ac:dyDescent="0.35">
      <c r="I17" s="4" t="s">
        <v>76</v>
      </c>
      <c r="J17" s="4" t="s">
        <v>3205</v>
      </c>
    </row>
    <row r="18" spans="9:10" x14ac:dyDescent="0.35">
      <c r="I18" s="4" t="s">
        <v>77</v>
      </c>
      <c r="J18" s="4" t="s">
        <v>3205</v>
      </c>
    </row>
    <row r="19" spans="9:10" x14ac:dyDescent="0.35">
      <c r="I19" s="4" t="s">
        <v>78</v>
      </c>
      <c r="J19" s="4" t="s">
        <v>3205</v>
      </c>
    </row>
    <row r="20" spans="9:10" x14ac:dyDescent="0.35">
      <c r="I20" s="4" t="s">
        <v>79</v>
      </c>
      <c r="J20" s="4" t="s">
        <v>3205</v>
      </c>
    </row>
    <row r="21" spans="9:10" x14ac:dyDescent="0.35">
      <c r="I21" s="4" t="s">
        <v>80</v>
      </c>
      <c r="J21" s="4" t="s">
        <v>3205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053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4" style="3" customWidth="1"/>
    <col min="2" max="2" width="40" style="3" customWidth="1"/>
    <col min="3" max="16384" width="8.7265625" style="3"/>
  </cols>
  <sheetData>
    <row r="1" spans="1:2" x14ac:dyDescent="0.35">
      <c r="A1" s="2" t="s">
        <v>81</v>
      </c>
      <c r="B1" s="2" t="s">
        <v>82</v>
      </c>
    </row>
    <row r="2" spans="1:2" x14ac:dyDescent="0.35">
      <c r="A2" s="4">
        <v>11000</v>
      </c>
      <c r="B2" s="5" t="s">
        <v>142</v>
      </c>
    </row>
    <row r="3" spans="1:2" x14ac:dyDescent="0.35">
      <c r="A3" s="4">
        <v>11100</v>
      </c>
      <c r="B3" s="5" t="s">
        <v>143</v>
      </c>
    </row>
    <row r="4" spans="1:2" x14ac:dyDescent="0.35">
      <c r="A4" s="4">
        <v>11200</v>
      </c>
      <c r="B4" s="5" t="s">
        <v>144</v>
      </c>
    </row>
    <row r="5" spans="1:2" x14ac:dyDescent="0.35">
      <c r="A5" s="4">
        <v>11300</v>
      </c>
      <c r="B5" s="5" t="s">
        <v>145</v>
      </c>
    </row>
    <row r="6" spans="1:2" x14ac:dyDescent="0.35">
      <c r="A6" s="4">
        <v>11400</v>
      </c>
      <c r="B6" s="5" t="s">
        <v>146</v>
      </c>
    </row>
    <row r="7" spans="1:2" x14ac:dyDescent="0.35">
      <c r="A7" s="4">
        <v>11500</v>
      </c>
      <c r="B7" s="5" t="s">
        <v>147</v>
      </c>
    </row>
    <row r="8" spans="1:2" x14ac:dyDescent="0.35">
      <c r="A8" s="4">
        <v>11900</v>
      </c>
      <c r="B8" s="5" t="s">
        <v>148</v>
      </c>
    </row>
    <row r="9" spans="1:2" x14ac:dyDescent="0.35">
      <c r="A9" s="4">
        <v>12000</v>
      </c>
      <c r="B9" s="5" t="s">
        <v>149</v>
      </c>
    </row>
    <row r="10" spans="1:2" x14ac:dyDescent="0.35">
      <c r="A10" s="4">
        <v>12100</v>
      </c>
      <c r="B10" s="5" t="s">
        <v>150</v>
      </c>
    </row>
    <row r="11" spans="1:2" x14ac:dyDescent="0.35">
      <c r="A11" s="4">
        <v>12200</v>
      </c>
      <c r="B11" s="5" t="s">
        <v>151</v>
      </c>
    </row>
    <row r="12" spans="1:2" x14ac:dyDescent="0.35">
      <c r="A12" s="4">
        <v>12300</v>
      </c>
      <c r="B12" s="5" t="s">
        <v>152</v>
      </c>
    </row>
    <row r="13" spans="1:2" x14ac:dyDescent="0.35">
      <c r="A13" s="4">
        <v>12400</v>
      </c>
      <c r="B13" s="5" t="s">
        <v>153</v>
      </c>
    </row>
    <row r="14" spans="1:2" x14ac:dyDescent="0.35">
      <c r="A14" s="4">
        <v>12500</v>
      </c>
      <c r="B14" s="5" t="s">
        <v>154</v>
      </c>
    </row>
    <row r="15" spans="1:2" x14ac:dyDescent="0.35">
      <c r="A15" s="4">
        <v>12600</v>
      </c>
      <c r="B15" s="5" t="s">
        <v>155</v>
      </c>
    </row>
    <row r="16" spans="1:2" x14ac:dyDescent="0.35">
      <c r="A16" s="4">
        <v>12700</v>
      </c>
      <c r="B16" s="5" t="s">
        <v>156</v>
      </c>
    </row>
    <row r="17" spans="1:2" x14ac:dyDescent="0.35">
      <c r="A17" s="4">
        <v>12800</v>
      </c>
      <c r="B17" s="5" t="s">
        <v>157</v>
      </c>
    </row>
    <row r="18" spans="1:2" x14ac:dyDescent="0.35">
      <c r="A18" s="4">
        <v>12900</v>
      </c>
      <c r="B18" s="5" t="s">
        <v>158</v>
      </c>
    </row>
    <row r="19" spans="1:2" x14ac:dyDescent="0.35">
      <c r="A19" s="4">
        <v>13200</v>
      </c>
      <c r="B19" s="5" t="s">
        <v>159</v>
      </c>
    </row>
    <row r="20" spans="1:2" x14ac:dyDescent="0.35">
      <c r="A20" s="4">
        <v>13300</v>
      </c>
      <c r="B20" s="5" t="s">
        <v>160</v>
      </c>
    </row>
    <row r="21" spans="1:2" x14ac:dyDescent="0.35">
      <c r="A21" s="4">
        <v>13400</v>
      </c>
      <c r="B21" s="5" t="s">
        <v>161</v>
      </c>
    </row>
    <row r="22" spans="1:2" x14ac:dyDescent="0.35">
      <c r="A22" s="4">
        <v>13500</v>
      </c>
      <c r="B22" s="5" t="s">
        <v>162</v>
      </c>
    </row>
    <row r="23" spans="1:2" x14ac:dyDescent="0.35">
      <c r="A23" s="4">
        <v>13900</v>
      </c>
      <c r="B23" s="5" t="s">
        <v>163</v>
      </c>
    </row>
    <row r="24" spans="1:2" x14ac:dyDescent="0.35">
      <c r="A24" s="4">
        <v>14200</v>
      </c>
      <c r="B24" s="5" t="s">
        <v>164</v>
      </c>
    </row>
    <row r="25" spans="1:2" x14ac:dyDescent="0.35">
      <c r="A25" s="4">
        <v>14300</v>
      </c>
      <c r="B25" s="5" t="s">
        <v>165</v>
      </c>
    </row>
    <row r="26" spans="1:2" x14ac:dyDescent="0.35">
      <c r="A26" s="4">
        <v>14400</v>
      </c>
      <c r="B26" s="5" t="s">
        <v>166</v>
      </c>
    </row>
    <row r="27" spans="1:2" x14ac:dyDescent="0.35">
      <c r="A27" s="4">
        <v>14500</v>
      </c>
      <c r="B27" s="5" t="s">
        <v>167</v>
      </c>
    </row>
    <row r="28" spans="1:2" x14ac:dyDescent="0.35">
      <c r="A28" s="4">
        <v>14900</v>
      </c>
      <c r="B28" s="5" t="s">
        <v>168</v>
      </c>
    </row>
    <row r="29" spans="1:2" x14ac:dyDescent="0.35">
      <c r="A29" s="4">
        <v>19000</v>
      </c>
      <c r="B29" s="5" t="s">
        <v>169</v>
      </c>
    </row>
    <row r="30" spans="1:2" x14ac:dyDescent="0.35">
      <c r="A30" s="4">
        <v>20000</v>
      </c>
      <c r="B30" s="5" t="s">
        <v>170</v>
      </c>
    </row>
    <row r="31" spans="1:2" x14ac:dyDescent="0.35">
      <c r="A31" s="4">
        <v>21000</v>
      </c>
      <c r="B31" s="5" t="s">
        <v>171</v>
      </c>
    </row>
    <row r="32" spans="1:2" x14ac:dyDescent="0.35">
      <c r="A32" s="4">
        <v>21100</v>
      </c>
      <c r="B32" s="5" t="s">
        <v>172</v>
      </c>
    </row>
    <row r="33" spans="1:2" x14ac:dyDescent="0.35">
      <c r="A33" s="4">
        <v>21200</v>
      </c>
      <c r="B33" s="5" t="s">
        <v>173</v>
      </c>
    </row>
    <row r="34" spans="1:2" x14ac:dyDescent="0.35">
      <c r="A34" s="4">
        <v>21400</v>
      </c>
      <c r="B34" s="5" t="s">
        <v>174</v>
      </c>
    </row>
    <row r="35" spans="1:2" x14ac:dyDescent="0.35">
      <c r="A35" s="4">
        <v>22100</v>
      </c>
      <c r="B35" s="5" t="s">
        <v>175</v>
      </c>
    </row>
    <row r="36" spans="1:2" x14ac:dyDescent="0.35">
      <c r="A36" s="4">
        <v>22120</v>
      </c>
      <c r="B36" s="5" t="s">
        <v>176</v>
      </c>
    </row>
    <row r="37" spans="1:2" x14ac:dyDescent="0.35">
      <c r="A37" s="4">
        <v>22130</v>
      </c>
      <c r="B37" s="5" t="s">
        <v>177</v>
      </c>
    </row>
    <row r="38" spans="1:2" x14ac:dyDescent="0.35">
      <c r="A38" s="4">
        <v>22140</v>
      </c>
      <c r="B38" s="5" t="s">
        <v>178</v>
      </c>
    </row>
    <row r="39" spans="1:2" x14ac:dyDescent="0.35">
      <c r="A39" s="4">
        <v>22150</v>
      </c>
      <c r="B39" s="5" t="s">
        <v>179</v>
      </c>
    </row>
    <row r="40" spans="1:2" x14ac:dyDescent="0.35">
      <c r="A40" s="4">
        <v>22200</v>
      </c>
      <c r="B40" s="5" t="s">
        <v>180</v>
      </c>
    </row>
    <row r="41" spans="1:2" x14ac:dyDescent="0.35">
      <c r="A41" s="4">
        <v>22250</v>
      </c>
      <c r="B41" s="5" t="s">
        <v>181</v>
      </c>
    </row>
    <row r="42" spans="1:2" x14ac:dyDescent="0.35">
      <c r="A42" s="4">
        <v>22300</v>
      </c>
      <c r="B42" s="5" t="s">
        <v>182</v>
      </c>
    </row>
    <row r="43" spans="1:2" x14ac:dyDescent="0.35">
      <c r="A43" s="4">
        <v>22350</v>
      </c>
      <c r="B43" s="5" t="s">
        <v>183</v>
      </c>
    </row>
    <row r="44" spans="1:2" x14ac:dyDescent="0.35">
      <c r="A44" s="4">
        <v>22400</v>
      </c>
      <c r="B44" s="5" t="s">
        <v>184</v>
      </c>
    </row>
    <row r="45" spans="1:2" x14ac:dyDescent="0.35">
      <c r="A45" s="4">
        <v>22450</v>
      </c>
      <c r="B45" s="5" t="s">
        <v>185</v>
      </c>
    </row>
    <row r="46" spans="1:2" x14ac:dyDescent="0.35">
      <c r="A46" s="4">
        <v>22500</v>
      </c>
      <c r="B46" s="5" t="s">
        <v>186</v>
      </c>
    </row>
    <row r="47" spans="1:2" x14ac:dyDescent="0.35">
      <c r="A47" s="4">
        <v>22600</v>
      </c>
      <c r="B47" s="5" t="s">
        <v>187</v>
      </c>
    </row>
    <row r="48" spans="1:2" x14ac:dyDescent="0.35">
      <c r="A48" s="4">
        <v>22900</v>
      </c>
      <c r="B48" s="5" t="s">
        <v>188</v>
      </c>
    </row>
    <row r="49" spans="1:2" x14ac:dyDescent="0.35">
      <c r="A49" s="4">
        <v>23050</v>
      </c>
      <c r="B49" s="5" t="s">
        <v>189</v>
      </c>
    </row>
    <row r="50" spans="1:2" x14ac:dyDescent="0.35">
      <c r="A50" s="4">
        <v>23100</v>
      </c>
      <c r="B50" s="5" t="s">
        <v>190</v>
      </c>
    </row>
    <row r="51" spans="1:2" x14ac:dyDescent="0.35">
      <c r="A51" s="4">
        <v>23200</v>
      </c>
      <c r="B51" s="5" t="s">
        <v>191</v>
      </c>
    </row>
    <row r="52" spans="1:2" x14ac:dyDescent="0.35">
      <c r="A52" s="4">
        <v>23300</v>
      </c>
      <c r="B52" s="5" t="s">
        <v>192</v>
      </c>
    </row>
    <row r="53" spans="1:2" x14ac:dyDescent="0.35">
      <c r="A53" s="4">
        <v>23400</v>
      </c>
      <c r="B53" s="5" t="s">
        <v>193</v>
      </c>
    </row>
    <row r="54" spans="1:2" x14ac:dyDescent="0.35">
      <c r="A54" s="4">
        <v>23500</v>
      </c>
      <c r="B54" s="5" t="s">
        <v>194</v>
      </c>
    </row>
    <row r="55" spans="1:2" x14ac:dyDescent="0.35">
      <c r="A55" s="4">
        <v>23600</v>
      </c>
      <c r="B55" s="5" t="s">
        <v>195</v>
      </c>
    </row>
    <row r="56" spans="1:2" x14ac:dyDescent="0.35">
      <c r="A56" s="4">
        <v>23610</v>
      </c>
      <c r="B56" s="5" t="s">
        <v>196</v>
      </c>
    </row>
    <row r="57" spans="1:2" x14ac:dyDescent="0.35">
      <c r="A57" s="4">
        <v>23611</v>
      </c>
      <c r="B57" s="5" t="s">
        <v>197</v>
      </c>
    </row>
    <row r="58" spans="1:2" x14ac:dyDescent="0.35">
      <c r="A58" s="4">
        <v>23620</v>
      </c>
      <c r="B58" s="5" t="s">
        <v>198</v>
      </c>
    </row>
    <row r="59" spans="1:2" x14ac:dyDescent="0.35">
      <c r="A59" s="4">
        <v>23700</v>
      </c>
      <c r="B59" s="5" t="s">
        <v>199</v>
      </c>
    </row>
    <row r="60" spans="1:2" x14ac:dyDescent="0.35">
      <c r="A60" s="4">
        <v>23800</v>
      </c>
      <c r="B60" s="5" t="s">
        <v>200</v>
      </c>
    </row>
    <row r="61" spans="1:2" x14ac:dyDescent="0.35">
      <c r="A61" s="4">
        <v>23900</v>
      </c>
      <c r="B61" s="5" t="s">
        <v>201</v>
      </c>
    </row>
    <row r="62" spans="1:2" x14ac:dyDescent="0.35">
      <c r="A62" s="4">
        <v>24100</v>
      </c>
      <c r="B62" s="5" t="s">
        <v>202</v>
      </c>
    </row>
    <row r="63" spans="1:2" x14ac:dyDescent="0.35">
      <c r="A63" s="4">
        <v>24110</v>
      </c>
      <c r="B63" s="5" t="s">
        <v>203</v>
      </c>
    </row>
    <row r="64" spans="1:2" x14ac:dyDescent="0.35">
      <c r="A64" s="4">
        <v>24150</v>
      </c>
      <c r="B64" s="5" t="s">
        <v>204</v>
      </c>
    </row>
    <row r="65" spans="1:2" x14ac:dyDescent="0.35">
      <c r="A65" s="4">
        <v>24200</v>
      </c>
      <c r="B65" s="5" t="s">
        <v>205</v>
      </c>
    </row>
    <row r="66" spans="1:2" x14ac:dyDescent="0.35">
      <c r="A66" s="4">
        <v>24250</v>
      </c>
      <c r="B66" s="5" t="s">
        <v>206</v>
      </c>
    </row>
    <row r="67" spans="1:2" x14ac:dyDescent="0.35">
      <c r="A67" s="4">
        <v>24300</v>
      </c>
      <c r="B67" s="5" t="s">
        <v>207</v>
      </c>
    </row>
    <row r="68" spans="1:2" x14ac:dyDescent="0.35">
      <c r="A68" s="4">
        <v>24350</v>
      </c>
      <c r="B68" s="5" t="s">
        <v>208</v>
      </c>
    </row>
    <row r="69" spans="1:2" x14ac:dyDescent="0.35">
      <c r="A69" s="4">
        <v>24400</v>
      </c>
      <c r="B69" s="5" t="s">
        <v>209</v>
      </c>
    </row>
    <row r="70" spans="1:2" x14ac:dyDescent="0.35">
      <c r="A70" s="4">
        <v>24410</v>
      </c>
      <c r="B70" s="5" t="s">
        <v>210</v>
      </c>
    </row>
    <row r="71" spans="1:2" x14ac:dyDescent="0.35">
      <c r="A71" s="4">
        <v>24450</v>
      </c>
      <c r="B71" s="5" t="s">
        <v>211</v>
      </c>
    </row>
    <row r="72" spans="1:2" x14ac:dyDescent="0.35">
      <c r="A72" s="4">
        <v>24460</v>
      </c>
      <c r="B72" s="5" t="s">
        <v>212</v>
      </c>
    </row>
    <row r="73" spans="1:2" x14ac:dyDescent="0.35">
      <c r="A73" s="4">
        <v>24500</v>
      </c>
      <c r="B73" s="5" t="s">
        <v>213</v>
      </c>
    </row>
    <row r="74" spans="1:2" x14ac:dyDescent="0.35">
      <c r="A74" s="4">
        <v>24550</v>
      </c>
      <c r="B74" s="5" t="s">
        <v>214</v>
      </c>
    </row>
    <row r="75" spans="1:2" x14ac:dyDescent="0.35">
      <c r="A75" s="4">
        <v>24600</v>
      </c>
      <c r="B75" s="5" t="s">
        <v>215</v>
      </c>
    </row>
    <row r="76" spans="1:2" x14ac:dyDescent="0.35">
      <c r="A76" s="4">
        <v>24610</v>
      </c>
      <c r="B76" s="5" t="s">
        <v>216</v>
      </c>
    </row>
    <row r="77" spans="1:2" x14ac:dyDescent="0.35">
      <c r="A77" s="4">
        <v>24700</v>
      </c>
      <c r="B77" s="5" t="s">
        <v>217</v>
      </c>
    </row>
    <row r="78" spans="1:2" x14ac:dyDescent="0.35">
      <c r="A78" s="4">
        <v>24710</v>
      </c>
      <c r="B78" s="5" t="s">
        <v>218</v>
      </c>
    </row>
    <row r="79" spans="1:2" x14ac:dyDescent="0.35">
      <c r="A79" s="4">
        <v>24720</v>
      </c>
      <c r="B79" s="5" t="s">
        <v>219</v>
      </c>
    </row>
    <row r="80" spans="1:2" x14ac:dyDescent="0.35">
      <c r="A80" s="4">
        <v>24730</v>
      </c>
      <c r="B80" s="5" t="s">
        <v>220</v>
      </c>
    </row>
    <row r="81" spans="1:2" x14ac:dyDescent="0.35">
      <c r="A81" s="4">
        <v>24740</v>
      </c>
      <c r="B81" s="5" t="s">
        <v>221</v>
      </c>
    </row>
    <row r="82" spans="1:2" x14ac:dyDescent="0.35">
      <c r="A82" s="4">
        <v>24750</v>
      </c>
      <c r="B82" s="5" t="s">
        <v>222</v>
      </c>
    </row>
    <row r="83" spans="1:2" x14ac:dyDescent="0.35">
      <c r="A83" s="4">
        <v>24760</v>
      </c>
      <c r="B83" s="5" t="s">
        <v>223</v>
      </c>
    </row>
    <row r="84" spans="1:2" x14ac:dyDescent="0.35">
      <c r="A84" s="4">
        <v>24800</v>
      </c>
      <c r="B84" s="5" t="s">
        <v>224</v>
      </c>
    </row>
    <row r="85" spans="1:2" x14ac:dyDescent="0.35">
      <c r="A85" s="4">
        <v>24810</v>
      </c>
      <c r="B85" s="5" t="s">
        <v>225</v>
      </c>
    </row>
    <row r="86" spans="1:2" x14ac:dyDescent="0.35">
      <c r="A86" s="4">
        <v>24820</v>
      </c>
      <c r="B86" s="5" t="s">
        <v>226</v>
      </c>
    </row>
    <row r="87" spans="1:2" x14ac:dyDescent="0.35">
      <c r="A87" s="4">
        <v>24900</v>
      </c>
      <c r="B87" s="5" t="s">
        <v>227</v>
      </c>
    </row>
    <row r="88" spans="1:2" x14ac:dyDescent="0.35">
      <c r="A88" s="4">
        <v>25100</v>
      </c>
      <c r="B88" s="5" t="s">
        <v>228</v>
      </c>
    </row>
    <row r="89" spans="1:2" x14ac:dyDescent="0.35">
      <c r="A89" s="4">
        <v>25300</v>
      </c>
      <c r="B89" s="5" t="s">
        <v>229</v>
      </c>
    </row>
    <row r="90" spans="1:2" x14ac:dyDescent="0.35">
      <c r="A90" s="4">
        <v>25900</v>
      </c>
      <c r="B90" s="5" t="s">
        <v>230</v>
      </c>
    </row>
    <row r="91" spans="1:2" x14ac:dyDescent="0.35">
      <c r="A91" s="4">
        <v>26200</v>
      </c>
      <c r="B91" s="5" t="s">
        <v>231</v>
      </c>
    </row>
    <row r="92" spans="1:2" x14ac:dyDescent="0.35">
      <c r="A92" s="4">
        <v>26400</v>
      </c>
      <c r="B92" s="5" t="s">
        <v>232</v>
      </c>
    </row>
    <row r="93" spans="1:2" x14ac:dyDescent="0.35">
      <c r="A93" s="4">
        <v>26900</v>
      </c>
      <c r="B93" s="5" t="s">
        <v>233</v>
      </c>
    </row>
    <row r="94" spans="1:2" x14ac:dyDescent="0.35">
      <c r="A94" s="4">
        <v>27000</v>
      </c>
      <c r="B94" s="5" t="s">
        <v>234</v>
      </c>
    </row>
    <row r="95" spans="1:2" x14ac:dyDescent="0.35">
      <c r="A95" s="4">
        <v>27100</v>
      </c>
      <c r="B95" s="5" t="s">
        <v>235</v>
      </c>
    </row>
    <row r="96" spans="1:2" x14ac:dyDescent="0.35">
      <c r="A96" s="4">
        <v>27200</v>
      </c>
      <c r="B96" s="5" t="s">
        <v>236</v>
      </c>
    </row>
    <row r="97" spans="1:2" x14ac:dyDescent="0.35">
      <c r="A97" s="4">
        <v>27300</v>
      </c>
      <c r="B97" s="5" t="s">
        <v>237</v>
      </c>
    </row>
    <row r="98" spans="1:2" x14ac:dyDescent="0.35">
      <c r="A98" s="4">
        <v>27310</v>
      </c>
      <c r="B98" s="5" t="s">
        <v>238</v>
      </c>
    </row>
    <row r="99" spans="1:2" x14ac:dyDescent="0.35">
      <c r="A99" s="4">
        <v>27400</v>
      </c>
      <c r="B99" s="5" t="s">
        <v>239</v>
      </c>
    </row>
    <row r="100" spans="1:2" x14ac:dyDescent="0.35">
      <c r="A100" s="4">
        <v>27900</v>
      </c>
      <c r="B100" s="5" t="s">
        <v>240</v>
      </c>
    </row>
    <row r="101" spans="1:2" x14ac:dyDescent="0.35">
      <c r="A101" s="4">
        <v>28000</v>
      </c>
      <c r="B101" s="5" t="s">
        <v>241</v>
      </c>
    </row>
    <row r="102" spans="1:2" x14ac:dyDescent="0.35">
      <c r="A102" s="4">
        <v>28100</v>
      </c>
      <c r="B102" s="5" t="s">
        <v>242</v>
      </c>
    </row>
    <row r="103" spans="1:2" x14ac:dyDescent="0.35">
      <c r="A103" s="4">
        <v>28200</v>
      </c>
      <c r="B103" s="5" t="s">
        <v>243</v>
      </c>
    </row>
    <row r="104" spans="1:2" x14ac:dyDescent="0.35">
      <c r="A104" s="4">
        <v>28300</v>
      </c>
      <c r="B104" s="5" t="s">
        <v>244</v>
      </c>
    </row>
    <row r="105" spans="1:2" x14ac:dyDescent="0.35">
      <c r="A105" s="4">
        <v>28400</v>
      </c>
      <c r="B105" s="5" t="s">
        <v>245</v>
      </c>
    </row>
    <row r="106" spans="1:2" x14ac:dyDescent="0.35">
      <c r="A106" s="4">
        <v>28500</v>
      </c>
      <c r="B106" s="5" t="s">
        <v>246</v>
      </c>
    </row>
    <row r="107" spans="1:2" x14ac:dyDescent="0.35">
      <c r="A107" s="4">
        <v>28900</v>
      </c>
      <c r="B107" s="5" t="s">
        <v>247</v>
      </c>
    </row>
    <row r="108" spans="1:2" x14ac:dyDescent="0.35">
      <c r="A108" s="4">
        <v>29200</v>
      </c>
      <c r="B108" s="5" t="s">
        <v>248</v>
      </c>
    </row>
    <row r="109" spans="1:2" x14ac:dyDescent="0.35">
      <c r="A109" s="4">
        <v>29300</v>
      </c>
      <c r="B109" s="5" t="s">
        <v>249</v>
      </c>
    </row>
    <row r="110" spans="1:2" x14ac:dyDescent="0.35">
      <c r="A110" s="4">
        <v>29400</v>
      </c>
      <c r="B110" s="5" t="s">
        <v>250</v>
      </c>
    </row>
    <row r="111" spans="1:2" x14ac:dyDescent="0.35">
      <c r="A111" s="4">
        <v>29500</v>
      </c>
      <c r="B111" s="5" t="s">
        <v>251</v>
      </c>
    </row>
    <row r="112" spans="1:2" x14ac:dyDescent="0.35">
      <c r="A112" s="4">
        <v>29600</v>
      </c>
      <c r="B112" s="5" t="s">
        <v>252</v>
      </c>
    </row>
    <row r="113" spans="1:2" x14ac:dyDescent="0.35">
      <c r="A113" s="4">
        <v>29700</v>
      </c>
      <c r="B113" s="5" t="s">
        <v>253</v>
      </c>
    </row>
    <row r="114" spans="1:2" x14ac:dyDescent="0.35">
      <c r="A114" s="4">
        <v>29800</v>
      </c>
      <c r="B114" s="5" t="s">
        <v>254</v>
      </c>
    </row>
    <row r="115" spans="1:2" x14ac:dyDescent="0.35">
      <c r="A115" s="4">
        <v>29900</v>
      </c>
      <c r="B115" s="5" t="s">
        <v>255</v>
      </c>
    </row>
    <row r="116" spans="1:2" x14ac:dyDescent="0.35">
      <c r="A116" s="4">
        <v>30000</v>
      </c>
      <c r="B116" s="5" t="s">
        <v>256</v>
      </c>
    </row>
    <row r="117" spans="1:2" x14ac:dyDescent="0.35">
      <c r="A117" s="4">
        <v>30100</v>
      </c>
      <c r="B117" s="5" t="s">
        <v>257</v>
      </c>
    </row>
    <row r="118" spans="1:2" x14ac:dyDescent="0.35">
      <c r="A118" s="4">
        <v>31100</v>
      </c>
      <c r="B118" s="5" t="s">
        <v>258</v>
      </c>
    </row>
    <row r="119" spans="1:2" x14ac:dyDescent="0.35">
      <c r="A119" s="4">
        <v>31200</v>
      </c>
      <c r="B119" s="5" t="s">
        <v>259</v>
      </c>
    </row>
    <row r="120" spans="1:2" x14ac:dyDescent="0.35">
      <c r="A120" s="4">
        <v>31300</v>
      </c>
      <c r="B120" s="5" t="s">
        <v>260</v>
      </c>
    </row>
    <row r="121" spans="1:2" x14ac:dyDescent="0.35">
      <c r="A121" s="4">
        <v>31400</v>
      </c>
      <c r="B121" s="5" t="s">
        <v>261</v>
      </c>
    </row>
    <row r="122" spans="1:2" x14ac:dyDescent="0.35">
      <c r="A122" s="4">
        <v>31500</v>
      </c>
      <c r="B122" s="5" t="s">
        <v>262</v>
      </c>
    </row>
    <row r="123" spans="1:2" x14ac:dyDescent="0.35">
      <c r="A123" s="4">
        <v>31900</v>
      </c>
      <c r="B123" s="5" t="s">
        <v>263</v>
      </c>
    </row>
    <row r="124" spans="1:2" x14ac:dyDescent="0.35">
      <c r="A124" s="4">
        <v>32000</v>
      </c>
      <c r="B124" s="5" t="s">
        <v>264</v>
      </c>
    </row>
    <row r="125" spans="1:2" x14ac:dyDescent="0.35">
      <c r="A125" s="4">
        <v>32010</v>
      </c>
      <c r="B125" s="5" t="s">
        <v>265</v>
      </c>
    </row>
    <row r="126" spans="1:2" x14ac:dyDescent="0.35">
      <c r="A126" s="4">
        <v>32012</v>
      </c>
      <c r="B126" s="5" t="s">
        <v>266</v>
      </c>
    </row>
    <row r="127" spans="1:2" x14ac:dyDescent="0.35">
      <c r="A127" s="4">
        <v>32100</v>
      </c>
      <c r="B127" s="5" t="s">
        <v>267</v>
      </c>
    </row>
    <row r="128" spans="1:2" x14ac:dyDescent="0.35">
      <c r="A128" s="4">
        <v>32110</v>
      </c>
      <c r="B128" s="5" t="s">
        <v>268</v>
      </c>
    </row>
    <row r="129" spans="1:2" x14ac:dyDescent="0.35">
      <c r="A129" s="4">
        <v>32120</v>
      </c>
      <c r="B129" s="5" t="s">
        <v>269</v>
      </c>
    </row>
    <row r="130" spans="1:2" x14ac:dyDescent="0.35">
      <c r="A130" s="4">
        <v>32150</v>
      </c>
      <c r="B130" s="5" t="s">
        <v>270</v>
      </c>
    </row>
    <row r="131" spans="1:2" x14ac:dyDescent="0.35">
      <c r="A131" s="4">
        <v>32200</v>
      </c>
      <c r="B131" s="5" t="s">
        <v>271</v>
      </c>
    </row>
    <row r="132" spans="1:2" x14ac:dyDescent="0.35">
      <c r="A132" s="4">
        <v>32250</v>
      </c>
      <c r="B132" s="5" t="s">
        <v>272</v>
      </c>
    </row>
    <row r="133" spans="1:2" x14ac:dyDescent="0.35">
      <c r="A133" s="4">
        <v>32300</v>
      </c>
      <c r="B133" s="5" t="s">
        <v>273</v>
      </c>
    </row>
    <row r="134" spans="1:2" x14ac:dyDescent="0.35">
      <c r="A134" s="4">
        <v>32350</v>
      </c>
      <c r="B134" s="5" t="s">
        <v>274</v>
      </c>
    </row>
    <row r="135" spans="1:2" x14ac:dyDescent="0.35">
      <c r="A135" s="4">
        <v>32400</v>
      </c>
      <c r="B135" s="5" t="s">
        <v>275</v>
      </c>
    </row>
    <row r="136" spans="1:2" x14ac:dyDescent="0.35">
      <c r="A136" s="4">
        <v>32450</v>
      </c>
      <c r="B136" s="5" t="s">
        <v>276</v>
      </c>
    </row>
    <row r="137" spans="1:2" x14ac:dyDescent="0.35">
      <c r="A137" s="4">
        <v>32500</v>
      </c>
      <c r="B137" s="5" t="s">
        <v>277</v>
      </c>
    </row>
    <row r="138" spans="1:2" x14ac:dyDescent="0.35">
      <c r="A138" s="4">
        <v>32900</v>
      </c>
      <c r="B138" s="5" t="s">
        <v>278</v>
      </c>
    </row>
    <row r="139" spans="1:2" x14ac:dyDescent="0.35">
      <c r="A139" s="4">
        <v>33000</v>
      </c>
      <c r="B139" s="5" t="s">
        <v>279</v>
      </c>
    </row>
    <row r="140" spans="1:2" x14ac:dyDescent="0.35">
      <c r="A140" s="4">
        <v>33100</v>
      </c>
      <c r="B140" s="5" t="s">
        <v>280</v>
      </c>
    </row>
    <row r="141" spans="1:2" x14ac:dyDescent="0.35">
      <c r="A141" s="4">
        <v>33150</v>
      </c>
      <c r="B141" s="5" t="s">
        <v>281</v>
      </c>
    </row>
    <row r="142" spans="1:2" x14ac:dyDescent="0.35">
      <c r="A142" s="4">
        <v>33200</v>
      </c>
      <c r="B142" s="5" t="s">
        <v>282</v>
      </c>
    </row>
    <row r="143" spans="1:2" x14ac:dyDescent="0.35">
      <c r="A143" s="4">
        <v>33250</v>
      </c>
      <c r="B143" s="5" t="s">
        <v>283</v>
      </c>
    </row>
    <row r="144" spans="1:2" x14ac:dyDescent="0.35">
      <c r="A144" s="4">
        <v>33300</v>
      </c>
      <c r="B144" s="5" t="s">
        <v>284</v>
      </c>
    </row>
    <row r="145" spans="1:2" x14ac:dyDescent="0.35">
      <c r="A145" s="4">
        <v>33310</v>
      </c>
      <c r="B145" s="5" t="s">
        <v>285</v>
      </c>
    </row>
    <row r="146" spans="1:2" x14ac:dyDescent="0.35">
      <c r="A146" s="4">
        <v>33320</v>
      </c>
      <c r="B146" s="5" t="s">
        <v>286</v>
      </c>
    </row>
    <row r="147" spans="1:2" x14ac:dyDescent="0.35">
      <c r="A147" s="4">
        <v>33350</v>
      </c>
      <c r="B147" s="5" t="s">
        <v>287</v>
      </c>
    </row>
    <row r="148" spans="1:2" x14ac:dyDescent="0.35">
      <c r="A148" s="4">
        <v>33400</v>
      </c>
      <c r="B148" s="5" t="s">
        <v>288</v>
      </c>
    </row>
    <row r="149" spans="1:2" x14ac:dyDescent="0.35">
      <c r="A149" s="4">
        <v>33410</v>
      </c>
      <c r="B149" s="5" t="s">
        <v>289</v>
      </c>
    </row>
    <row r="150" spans="1:2" x14ac:dyDescent="0.35">
      <c r="A150" s="4">
        <v>33420</v>
      </c>
      <c r="B150" s="5" t="s">
        <v>290</v>
      </c>
    </row>
    <row r="151" spans="1:2" x14ac:dyDescent="0.35">
      <c r="A151" s="4">
        <v>33450</v>
      </c>
      <c r="B151" s="5" t="s">
        <v>291</v>
      </c>
    </row>
    <row r="152" spans="1:2" x14ac:dyDescent="0.35">
      <c r="A152" s="4">
        <v>33460</v>
      </c>
      <c r="B152" s="5" t="s">
        <v>292</v>
      </c>
    </row>
    <row r="153" spans="1:2" x14ac:dyDescent="0.35">
      <c r="A153" s="4">
        <v>33500</v>
      </c>
      <c r="B153" s="5" t="s">
        <v>293</v>
      </c>
    </row>
    <row r="154" spans="1:2" x14ac:dyDescent="0.35">
      <c r="A154" s="4">
        <v>33510</v>
      </c>
      <c r="B154" s="5" t="s">
        <v>294</v>
      </c>
    </row>
    <row r="155" spans="1:2" x14ac:dyDescent="0.35">
      <c r="A155" s="4">
        <v>33600</v>
      </c>
      <c r="B155" s="5" t="s">
        <v>295</v>
      </c>
    </row>
    <row r="156" spans="1:2" x14ac:dyDescent="0.35">
      <c r="A156" s="4">
        <v>33610</v>
      </c>
      <c r="B156" s="5" t="s">
        <v>296</v>
      </c>
    </row>
    <row r="157" spans="1:2" x14ac:dyDescent="0.35">
      <c r="A157" s="4">
        <v>33900</v>
      </c>
      <c r="B157" s="5" t="s">
        <v>297</v>
      </c>
    </row>
    <row r="158" spans="1:2" x14ac:dyDescent="0.35">
      <c r="A158" s="4">
        <v>34000</v>
      </c>
      <c r="B158" s="5" t="s">
        <v>298</v>
      </c>
    </row>
    <row r="159" spans="1:2" x14ac:dyDescent="0.35">
      <c r="A159" s="4">
        <v>34010</v>
      </c>
      <c r="B159" s="5" t="s">
        <v>299</v>
      </c>
    </row>
    <row r="160" spans="1:2" x14ac:dyDescent="0.35">
      <c r="A160" s="4">
        <v>34040</v>
      </c>
      <c r="B160" s="5" t="s">
        <v>300</v>
      </c>
    </row>
    <row r="161" spans="1:2" x14ac:dyDescent="0.35">
      <c r="A161" s="4">
        <v>34050</v>
      </c>
      <c r="B161" s="5" t="s">
        <v>301</v>
      </c>
    </row>
    <row r="162" spans="1:2" x14ac:dyDescent="0.35">
      <c r="A162" s="4">
        <v>34060</v>
      </c>
      <c r="B162" s="5" t="s">
        <v>302</v>
      </c>
    </row>
    <row r="163" spans="1:2" x14ac:dyDescent="0.35">
      <c r="A163" s="4">
        <v>34100</v>
      </c>
      <c r="B163" s="5" t="s">
        <v>303</v>
      </c>
    </row>
    <row r="164" spans="1:2" x14ac:dyDescent="0.35">
      <c r="A164" s="4">
        <v>34110</v>
      </c>
      <c r="B164" s="5" t="s">
        <v>141</v>
      </c>
    </row>
    <row r="165" spans="1:2" x14ac:dyDescent="0.35">
      <c r="A165" s="4">
        <v>34120</v>
      </c>
      <c r="B165" s="5" t="s">
        <v>304</v>
      </c>
    </row>
    <row r="166" spans="1:2" x14ac:dyDescent="0.35">
      <c r="A166" s="4">
        <v>34130</v>
      </c>
      <c r="B166" s="5" t="s">
        <v>305</v>
      </c>
    </row>
    <row r="167" spans="1:2" x14ac:dyDescent="0.35">
      <c r="A167" s="4">
        <v>34140</v>
      </c>
      <c r="B167" s="5" t="s">
        <v>306</v>
      </c>
    </row>
    <row r="168" spans="1:2" x14ac:dyDescent="0.35">
      <c r="A168" s="4">
        <v>34150</v>
      </c>
      <c r="B168" s="5" t="s">
        <v>307</v>
      </c>
    </row>
    <row r="169" spans="1:2" x14ac:dyDescent="0.35">
      <c r="A169" s="4">
        <v>34160</v>
      </c>
      <c r="B169" s="5" t="s">
        <v>308</v>
      </c>
    </row>
    <row r="170" spans="1:2" x14ac:dyDescent="0.35">
      <c r="A170" s="4">
        <v>34161</v>
      </c>
      <c r="B170" s="5" t="s">
        <v>309</v>
      </c>
    </row>
    <row r="171" spans="1:2" x14ac:dyDescent="0.35">
      <c r="A171" s="4">
        <v>34162</v>
      </c>
      <c r="B171" s="5" t="s">
        <v>310</v>
      </c>
    </row>
    <row r="172" spans="1:2" x14ac:dyDescent="0.35">
      <c r="A172" s="4">
        <v>34170</v>
      </c>
      <c r="B172" s="5" t="s">
        <v>311</v>
      </c>
    </row>
    <row r="173" spans="1:2" x14ac:dyDescent="0.35">
      <c r="A173" s="4">
        <v>34200</v>
      </c>
      <c r="B173" s="5" t="s">
        <v>312</v>
      </c>
    </row>
    <row r="174" spans="1:2" x14ac:dyDescent="0.35">
      <c r="A174" s="4">
        <v>34210</v>
      </c>
      <c r="B174" s="5" t="s">
        <v>313</v>
      </c>
    </row>
    <row r="175" spans="1:2" x14ac:dyDescent="0.35">
      <c r="A175" s="4">
        <v>34220</v>
      </c>
      <c r="B175" s="5" t="s">
        <v>314</v>
      </c>
    </row>
    <row r="176" spans="1:2" x14ac:dyDescent="0.35">
      <c r="A176" s="4">
        <v>34221</v>
      </c>
      <c r="B176" s="5" t="s">
        <v>315</v>
      </c>
    </row>
    <row r="177" spans="1:2" x14ac:dyDescent="0.35">
      <c r="A177" s="4">
        <v>34230</v>
      </c>
      <c r="B177" s="5" t="s">
        <v>316</v>
      </c>
    </row>
    <row r="178" spans="1:2" x14ac:dyDescent="0.35">
      <c r="A178" s="4">
        <v>34240</v>
      </c>
      <c r="B178" s="5" t="s">
        <v>317</v>
      </c>
    </row>
    <row r="179" spans="1:2" x14ac:dyDescent="0.35">
      <c r="A179" s="4">
        <v>34250</v>
      </c>
      <c r="B179" s="5" t="s">
        <v>318</v>
      </c>
    </row>
    <row r="180" spans="1:2" x14ac:dyDescent="0.35">
      <c r="A180" s="4">
        <v>34260</v>
      </c>
      <c r="B180" s="5" t="s">
        <v>319</v>
      </c>
    </row>
    <row r="181" spans="1:2" x14ac:dyDescent="0.35">
      <c r="A181" s="4">
        <v>34270</v>
      </c>
      <c r="B181" s="5" t="s">
        <v>320</v>
      </c>
    </row>
    <row r="182" spans="1:2" x14ac:dyDescent="0.35">
      <c r="A182" s="4">
        <v>34280</v>
      </c>
      <c r="B182" s="5" t="s">
        <v>321</v>
      </c>
    </row>
    <row r="183" spans="1:2" x14ac:dyDescent="0.35">
      <c r="A183" s="4">
        <v>34290</v>
      </c>
      <c r="B183" s="5" t="s">
        <v>322</v>
      </c>
    </row>
    <row r="184" spans="1:2" x14ac:dyDescent="0.35">
      <c r="A184" s="4">
        <v>34300</v>
      </c>
      <c r="B184" s="5" t="s">
        <v>323</v>
      </c>
    </row>
    <row r="185" spans="1:2" x14ac:dyDescent="0.35">
      <c r="A185" s="4">
        <v>34310</v>
      </c>
      <c r="B185" s="5" t="s">
        <v>324</v>
      </c>
    </row>
    <row r="186" spans="1:2" x14ac:dyDescent="0.35">
      <c r="A186" s="4">
        <v>34320</v>
      </c>
      <c r="B186" s="5" t="s">
        <v>325</v>
      </c>
    </row>
    <row r="187" spans="1:2" x14ac:dyDescent="0.35">
      <c r="A187" s="4">
        <v>34350</v>
      </c>
      <c r="B187" s="5" t="s">
        <v>326</v>
      </c>
    </row>
    <row r="188" spans="1:2" x14ac:dyDescent="0.35">
      <c r="A188" s="4">
        <v>34400</v>
      </c>
      <c r="B188" s="5" t="s">
        <v>327</v>
      </c>
    </row>
    <row r="189" spans="1:2" x14ac:dyDescent="0.35">
      <c r="A189" s="4">
        <v>34450</v>
      </c>
      <c r="B189" s="5" t="s">
        <v>328</v>
      </c>
    </row>
    <row r="190" spans="1:2" x14ac:dyDescent="0.35">
      <c r="A190" s="4">
        <v>34460</v>
      </c>
      <c r="B190" s="5" t="s">
        <v>329</v>
      </c>
    </row>
    <row r="191" spans="1:2" x14ac:dyDescent="0.35">
      <c r="A191" s="4">
        <v>34470</v>
      </c>
      <c r="B191" s="5" t="s">
        <v>330</v>
      </c>
    </row>
    <row r="192" spans="1:2" x14ac:dyDescent="0.35">
      <c r="A192" s="4">
        <v>34471</v>
      </c>
      <c r="B192" s="5" t="s">
        <v>331</v>
      </c>
    </row>
    <row r="193" spans="1:2" x14ac:dyDescent="0.35">
      <c r="A193" s="4">
        <v>34480</v>
      </c>
      <c r="B193" s="5" t="s">
        <v>332</v>
      </c>
    </row>
    <row r="194" spans="1:2" x14ac:dyDescent="0.35">
      <c r="A194" s="4">
        <v>34490</v>
      </c>
      <c r="B194" s="5" t="s">
        <v>333</v>
      </c>
    </row>
    <row r="195" spans="1:2" x14ac:dyDescent="0.35">
      <c r="A195" s="4">
        <v>34500</v>
      </c>
      <c r="B195" s="5" t="s">
        <v>334</v>
      </c>
    </row>
    <row r="196" spans="1:2" x14ac:dyDescent="0.35">
      <c r="A196" s="4">
        <v>34550</v>
      </c>
      <c r="B196" s="5" t="s">
        <v>335</v>
      </c>
    </row>
    <row r="197" spans="1:2" x14ac:dyDescent="0.35">
      <c r="A197" s="4">
        <v>34600</v>
      </c>
      <c r="B197" s="5" t="s">
        <v>336</v>
      </c>
    </row>
    <row r="198" spans="1:2" x14ac:dyDescent="0.35">
      <c r="A198" s="4">
        <v>34900</v>
      </c>
      <c r="B198" s="5" t="s">
        <v>337</v>
      </c>
    </row>
    <row r="199" spans="1:2" x14ac:dyDescent="0.35">
      <c r="A199" s="4">
        <v>35100</v>
      </c>
      <c r="B199" s="5" t="s">
        <v>338</v>
      </c>
    </row>
    <row r="200" spans="1:2" x14ac:dyDescent="0.35">
      <c r="A200" s="4">
        <v>35150</v>
      </c>
      <c r="B200" s="5" t="s">
        <v>339</v>
      </c>
    </row>
    <row r="201" spans="1:2" x14ac:dyDescent="0.35">
      <c r="A201" s="4">
        <v>35200</v>
      </c>
      <c r="B201" s="5" t="s">
        <v>340</v>
      </c>
    </row>
    <row r="202" spans="1:2" x14ac:dyDescent="0.35">
      <c r="A202" s="4">
        <v>35210</v>
      </c>
      <c r="B202" s="5" t="s">
        <v>341</v>
      </c>
    </row>
    <row r="203" spans="1:2" x14ac:dyDescent="0.35">
      <c r="A203" s="4">
        <v>35211</v>
      </c>
      <c r="B203" s="5" t="s">
        <v>342</v>
      </c>
    </row>
    <row r="204" spans="1:2" x14ac:dyDescent="0.35">
      <c r="A204" s="4">
        <v>35220</v>
      </c>
      <c r="B204" s="5" t="s">
        <v>343</v>
      </c>
    </row>
    <row r="205" spans="1:2" x14ac:dyDescent="0.35">
      <c r="A205" s="4">
        <v>35230</v>
      </c>
      <c r="B205" s="5" t="s">
        <v>344</v>
      </c>
    </row>
    <row r="206" spans="1:2" x14ac:dyDescent="0.35">
      <c r="A206" s="4">
        <v>35240</v>
      </c>
      <c r="B206" s="5" t="s">
        <v>345</v>
      </c>
    </row>
    <row r="207" spans="1:2" x14ac:dyDescent="0.35">
      <c r="A207" s="4">
        <v>35250</v>
      </c>
      <c r="B207" s="5" t="s">
        <v>346</v>
      </c>
    </row>
    <row r="208" spans="1:2" x14ac:dyDescent="0.35">
      <c r="A208" s="4">
        <v>35260</v>
      </c>
      <c r="B208" s="5" t="s">
        <v>347</v>
      </c>
    </row>
    <row r="209" spans="1:2" x14ac:dyDescent="0.35">
      <c r="A209" s="4">
        <v>35270</v>
      </c>
      <c r="B209" s="5" t="s">
        <v>348</v>
      </c>
    </row>
    <row r="210" spans="1:2" x14ac:dyDescent="0.35">
      <c r="A210" s="4">
        <v>35300</v>
      </c>
      <c r="B210" s="5" t="s">
        <v>349</v>
      </c>
    </row>
    <row r="211" spans="1:2" x14ac:dyDescent="0.35">
      <c r="A211" s="4">
        <v>35350</v>
      </c>
      <c r="B211" s="5" t="s">
        <v>350</v>
      </c>
    </row>
    <row r="212" spans="1:2" x14ac:dyDescent="0.35">
      <c r="A212" s="4">
        <v>35400</v>
      </c>
      <c r="B212" s="5" t="s">
        <v>351</v>
      </c>
    </row>
    <row r="213" spans="1:2" x14ac:dyDescent="0.35">
      <c r="A213" s="4">
        <v>35410</v>
      </c>
      <c r="B213" s="5" t="s">
        <v>352</v>
      </c>
    </row>
    <row r="214" spans="1:2" x14ac:dyDescent="0.35">
      <c r="A214" s="4">
        <v>35411</v>
      </c>
      <c r="B214" s="5" t="s">
        <v>353</v>
      </c>
    </row>
    <row r="215" spans="1:2" x14ac:dyDescent="0.35">
      <c r="A215" s="4">
        <v>35420</v>
      </c>
      <c r="B215" s="5" t="s">
        <v>354</v>
      </c>
    </row>
    <row r="216" spans="1:2" x14ac:dyDescent="0.35">
      <c r="A216" s="4">
        <v>35440</v>
      </c>
      <c r="B216" s="5" t="s">
        <v>355</v>
      </c>
    </row>
    <row r="217" spans="1:2" x14ac:dyDescent="0.35">
      <c r="A217" s="4">
        <v>35450</v>
      </c>
      <c r="B217" s="5" t="s">
        <v>356</v>
      </c>
    </row>
    <row r="218" spans="1:2" x14ac:dyDescent="0.35">
      <c r="A218" s="4">
        <v>35460</v>
      </c>
      <c r="B218" s="5" t="s">
        <v>357</v>
      </c>
    </row>
    <row r="219" spans="1:2" x14ac:dyDescent="0.35">
      <c r="A219" s="4">
        <v>35470</v>
      </c>
      <c r="B219" s="5" t="s">
        <v>358</v>
      </c>
    </row>
    <row r="220" spans="1:2" x14ac:dyDescent="0.35">
      <c r="A220" s="4">
        <v>35500</v>
      </c>
      <c r="B220" s="5" t="s">
        <v>359</v>
      </c>
    </row>
    <row r="221" spans="1:2" x14ac:dyDescent="0.35">
      <c r="A221" s="4">
        <v>35550</v>
      </c>
      <c r="B221" s="5" t="s">
        <v>360</v>
      </c>
    </row>
    <row r="222" spans="1:2" x14ac:dyDescent="0.35">
      <c r="A222" s="4">
        <v>35600</v>
      </c>
      <c r="B222" s="5" t="s">
        <v>361</v>
      </c>
    </row>
    <row r="223" spans="1:2" x14ac:dyDescent="0.35">
      <c r="A223" s="4">
        <v>35650</v>
      </c>
      <c r="B223" s="5" t="s">
        <v>362</v>
      </c>
    </row>
    <row r="224" spans="1:2" x14ac:dyDescent="0.35">
      <c r="A224" s="4">
        <v>35700</v>
      </c>
      <c r="B224" s="5" t="s">
        <v>363</v>
      </c>
    </row>
    <row r="225" spans="1:2" x14ac:dyDescent="0.35">
      <c r="A225" s="4">
        <v>35750</v>
      </c>
      <c r="B225" s="5" t="s">
        <v>364</v>
      </c>
    </row>
    <row r="226" spans="1:2" x14ac:dyDescent="0.35">
      <c r="A226" s="4">
        <v>35800</v>
      </c>
      <c r="B226" s="5" t="s">
        <v>365</v>
      </c>
    </row>
    <row r="227" spans="1:2" x14ac:dyDescent="0.35">
      <c r="A227" s="4">
        <v>35900</v>
      </c>
      <c r="B227" s="5" t="s">
        <v>366</v>
      </c>
    </row>
    <row r="228" spans="1:2" x14ac:dyDescent="0.35">
      <c r="A228" s="4">
        <v>36100</v>
      </c>
      <c r="B228" s="5" t="s">
        <v>367</v>
      </c>
    </row>
    <row r="229" spans="1:2" x14ac:dyDescent="0.35">
      <c r="A229" s="4">
        <v>36150</v>
      </c>
      <c r="B229" s="5" t="s">
        <v>368</v>
      </c>
    </row>
    <row r="230" spans="1:2" x14ac:dyDescent="0.35">
      <c r="A230" s="4">
        <v>36200</v>
      </c>
      <c r="B230" s="5" t="s">
        <v>369</v>
      </c>
    </row>
    <row r="231" spans="1:2" x14ac:dyDescent="0.35">
      <c r="A231" s="4">
        <v>36250</v>
      </c>
      <c r="B231" s="5" t="s">
        <v>370</v>
      </c>
    </row>
    <row r="232" spans="1:2" x14ac:dyDescent="0.35">
      <c r="A232" s="4">
        <v>36300</v>
      </c>
      <c r="B232" s="5" t="s">
        <v>371</v>
      </c>
    </row>
    <row r="233" spans="1:2" x14ac:dyDescent="0.35">
      <c r="A233" s="4">
        <v>36301</v>
      </c>
      <c r="B233" s="5" t="s">
        <v>372</v>
      </c>
    </row>
    <row r="234" spans="1:2" x14ac:dyDescent="0.35">
      <c r="A234" s="4">
        <v>36350</v>
      </c>
      <c r="B234" s="5" t="s">
        <v>373</v>
      </c>
    </row>
    <row r="235" spans="1:2" x14ac:dyDescent="0.35">
      <c r="A235" s="4">
        <v>36360</v>
      </c>
      <c r="B235" s="5" t="s">
        <v>374</v>
      </c>
    </row>
    <row r="236" spans="1:2" x14ac:dyDescent="0.35">
      <c r="A236" s="4">
        <v>36370</v>
      </c>
      <c r="B236" s="5" t="s">
        <v>375</v>
      </c>
    </row>
    <row r="237" spans="1:2" x14ac:dyDescent="0.35">
      <c r="A237" s="4">
        <v>36400</v>
      </c>
      <c r="B237" s="5" t="s">
        <v>376</v>
      </c>
    </row>
    <row r="238" spans="1:2" x14ac:dyDescent="0.35">
      <c r="A238" s="4">
        <v>36410</v>
      </c>
      <c r="B238" s="5" t="s">
        <v>377</v>
      </c>
    </row>
    <row r="239" spans="1:2" x14ac:dyDescent="0.35">
      <c r="A239" s="4">
        <v>36420</v>
      </c>
      <c r="B239" s="5" t="s">
        <v>378</v>
      </c>
    </row>
    <row r="240" spans="1:2" x14ac:dyDescent="0.35">
      <c r="A240" s="4">
        <v>36450</v>
      </c>
      <c r="B240" s="5" t="s">
        <v>379</v>
      </c>
    </row>
    <row r="241" spans="1:2" x14ac:dyDescent="0.35">
      <c r="A241" s="4">
        <v>36900</v>
      </c>
      <c r="B241" s="5" t="s">
        <v>380</v>
      </c>
    </row>
    <row r="242" spans="1:2" x14ac:dyDescent="0.35">
      <c r="A242" s="4">
        <v>37100</v>
      </c>
      <c r="B242" s="5" t="s">
        <v>381</v>
      </c>
    </row>
    <row r="243" spans="1:2" x14ac:dyDescent="0.35">
      <c r="A243" s="4">
        <v>37200</v>
      </c>
      <c r="B243" s="5" t="s">
        <v>382</v>
      </c>
    </row>
    <row r="244" spans="1:2" x14ac:dyDescent="0.35">
      <c r="A244" s="4">
        <v>37300</v>
      </c>
      <c r="B244" s="5" t="s">
        <v>383</v>
      </c>
    </row>
    <row r="245" spans="1:2" x14ac:dyDescent="0.35">
      <c r="A245" s="4">
        <v>37900</v>
      </c>
      <c r="B245" s="5" t="s">
        <v>384</v>
      </c>
    </row>
    <row r="246" spans="1:2" x14ac:dyDescent="0.35">
      <c r="A246" s="4">
        <v>38100</v>
      </c>
      <c r="B246" s="5" t="s">
        <v>385</v>
      </c>
    </row>
    <row r="247" spans="1:2" x14ac:dyDescent="0.35">
      <c r="A247" s="4">
        <v>38300</v>
      </c>
      <c r="B247" s="5" t="s">
        <v>386</v>
      </c>
    </row>
    <row r="248" spans="1:2" x14ac:dyDescent="0.35">
      <c r="A248" s="4">
        <v>38900</v>
      </c>
      <c r="B248" s="5" t="s">
        <v>387</v>
      </c>
    </row>
    <row r="249" spans="1:2" x14ac:dyDescent="0.35">
      <c r="A249" s="4">
        <v>39000</v>
      </c>
      <c r="B249" s="5" t="s">
        <v>388</v>
      </c>
    </row>
    <row r="250" spans="1:2" x14ac:dyDescent="0.35">
      <c r="A250" s="4">
        <v>39200</v>
      </c>
      <c r="B250" s="5" t="s">
        <v>389</v>
      </c>
    </row>
    <row r="251" spans="1:2" x14ac:dyDescent="0.35">
      <c r="A251" s="4">
        <v>39300</v>
      </c>
      <c r="B251" s="5" t="s">
        <v>390</v>
      </c>
    </row>
    <row r="252" spans="1:2" x14ac:dyDescent="0.35">
      <c r="A252" s="4">
        <v>39400</v>
      </c>
      <c r="B252" s="5" t="s">
        <v>391</v>
      </c>
    </row>
    <row r="253" spans="1:2" x14ac:dyDescent="0.35">
      <c r="A253" s="4">
        <v>39500</v>
      </c>
      <c r="B253" s="5" t="s">
        <v>392</v>
      </c>
    </row>
    <row r="254" spans="1:2" x14ac:dyDescent="0.35">
      <c r="A254" s="4">
        <v>39600</v>
      </c>
      <c r="B254" s="5" t="s">
        <v>393</v>
      </c>
    </row>
    <row r="255" spans="1:2" x14ac:dyDescent="0.35">
      <c r="A255" s="4">
        <v>39700</v>
      </c>
      <c r="B255" s="5" t="s">
        <v>394</v>
      </c>
    </row>
    <row r="256" spans="1:2" x14ac:dyDescent="0.35">
      <c r="A256" s="4">
        <v>39710</v>
      </c>
      <c r="B256" s="5" t="s">
        <v>395</v>
      </c>
    </row>
    <row r="257" spans="1:2" x14ac:dyDescent="0.35">
      <c r="A257" s="4">
        <v>39720</v>
      </c>
      <c r="B257" s="5" t="s">
        <v>396</v>
      </c>
    </row>
    <row r="258" spans="1:2" x14ac:dyDescent="0.35">
      <c r="A258" s="4">
        <v>39730</v>
      </c>
      <c r="B258" s="5" t="s">
        <v>397</v>
      </c>
    </row>
    <row r="259" spans="1:2" x14ac:dyDescent="0.35">
      <c r="A259" s="4">
        <v>39800</v>
      </c>
      <c r="B259" s="5" t="s">
        <v>398</v>
      </c>
    </row>
    <row r="260" spans="1:2" x14ac:dyDescent="0.35">
      <c r="A260" s="4">
        <v>39810</v>
      </c>
      <c r="B260" s="5" t="s">
        <v>399</v>
      </c>
    </row>
    <row r="261" spans="1:2" x14ac:dyDescent="0.35">
      <c r="A261" s="4">
        <v>39811</v>
      </c>
      <c r="B261" s="5" t="s">
        <v>400</v>
      </c>
    </row>
    <row r="262" spans="1:2" x14ac:dyDescent="0.35">
      <c r="A262" s="4">
        <v>39820</v>
      </c>
      <c r="B262" s="5" t="s">
        <v>401</v>
      </c>
    </row>
    <row r="263" spans="1:2" x14ac:dyDescent="0.35">
      <c r="A263" s="4">
        <v>39821</v>
      </c>
      <c r="B263" s="5" t="s">
        <v>402</v>
      </c>
    </row>
    <row r="264" spans="1:2" x14ac:dyDescent="0.35">
      <c r="A264" s="4">
        <v>39822</v>
      </c>
      <c r="B264" s="5" t="s">
        <v>403</v>
      </c>
    </row>
    <row r="265" spans="1:2" x14ac:dyDescent="0.35">
      <c r="A265" s="4">
        <v>39830</v>
      </c>
      <c r="B265" s="5" t="s">
        <v>404</v>
      </c>
    </row>
    <row r="266" spans="1:2" x14ac:dyDescent="0.35">
      <c r="A266" s="4">
        <v>39831</v>
      </c>
      <c r="B266" s="5" t="s">
        <v>405</v>
      </c>
    </row>
    <row r="267" spans="1:2" x14ac:dyDescent="0.35">
      <c r="A267" s="4">
        <v>39832</v>
      </c>
      <c r="B267" s="5" t="s">
        <v>406</v>
      </c>
    </row>
    <row r="268" spans="1:2" x14ac:dyDescent="0.35">
      <c r="A268" s="4">
        <v>39839</v>
      </c>
      <c r="B268" s="5" t="s">
        <v>407</v>
      </c>
    </row>
    <row r="269" spans="1:2" x14ac:dyDescent="0.35">
      <c r="A269" s="4">
        <v>39840</v>
      </c>
      <c r="B269" s="5" t="s">
        <v>408</v>
      </c>
    </row>
    <row r="270" spans="1:2" x14ac:dyDescent="0.35">
      <c r="A270" s="4">
        <v>39841</v>
      </c>
      <c r="B270" s="5" t="s">
        <v>409</v>
      </c>
    </row>
    <row r="271" spans="1:2" x14ac:dyDescent="0.35">
      <c r="A271" s="4">
        <v>39850</v>
      </c>
      <c r="B271" s="5" t="s">
        <v>347</v>
      </c>
    </row>
    <row r="272" spans="1:2" x14ac:dyDescent="0.35">
      <c r="A272" s="4">
        <v>39860</v>
      </c>
      <c r="B272" s="5" t="s">
        <v>410</v>
      </c>
    </row>
    <row r="273" spans="1:2" x14ac:dyDescent="0.35">
      <c r="A273" s="4">
        <v>39870</v>
      </c>
      <c r="B273" s="5" t="s">
        <v>411</v>
      </c>
    </row>
    <row r="274" spans="1:2" x14ac:dyDescent="0.35">
      <c r="A274" s="4">
        <v>39880</v>
      </c>
      <c r="B274" s="5" t="s">
        <v>412</v>
      </c>
    </row>
    <row r="275" spans="1:2" x14ac:dyDescent="0.35">
      <c r="A275" s="4">
        <v>39900</v>
      </c>
      <c r="B275" s="5" t="s">
        <v>413</v>
      </c>
    </row>
    <row r="276" spans="1:2" x14ac:dyDescent="0.35">
      <c r="A276" s="4">
        <v>41100</v>
      </c>
      <c r="B276" s="5" t="s">
        <v>414</v>
      </c>
    </row>
    <row r="277" spans="1:2" x14ac:dyDescent="0.35">
      <c r="A277" s="4">
        <v>41200</v>
      </c>
      <c r="B277" s="5" t="s">
        <v>415</v>
      </c>
    </row>
    <row r="278" spans="1:2" x14ac:dyDescent="0.35">
      <c r="A278" s="4">
        <v>41300</v>
      </c>
      <c r="B278" s="5" t="s">
        <v>416</v>
      </c>
    </row>
    <row r="279" spans="1:2" x14ac:dyDescent="0.35">
      <c r="A279" s="4">
        <v>41400</v>
      </c>
      <c r="B279" s="5" t="s">
        <v>417</v>
      </c>
    </row>
    <row r="280" spans="1:2" x14ac:dyDescent="0.35">
      <c r="A280" s="4">
        <v>41500</v>
      </c>
      <c r="B280" s="5" t="s">
        <v>418</v>
      </c>
    </row>
    <row r="281" spans="1:2" x14ac:dyDescent="0.35">
      <c r="A281" s="4">
        <v>41600</v>
      </c>
      <c r="B281" s="5" t="s">
        <v>419</v>
      </c>
    </row>
    <row r="282" spans="1:2" x14ac:dyDescent="0.35">
      <c r="A282" s="4">
        <v>42100</v>
      </c>
      <c r="B282" s="5" t="s">
        <v>420</v>
      </c>
    </row>
    <row r="283" spans="1:2" x14ac:dyDescent="0.35">
      <c r="A283" s="4">
        <v>42200</v>
      </c>
      <c r="B283" s="5" t="s">
        <v>421</v>
      </c>
    </row>
    <row r="284" spans="1:2" x14ac:dyDescent="0.35">
      <c r="A284" s="4">
        <v>42300</v>
      </c>
      <c r="B284" s="5" t="s">
        <v>422</v>
      </c>
    </row>
    <row r="285" spans="1:2" x14ac:dyDescent="0.35">
      <c r="A285" s="4">
        <v>42400</v>
      </c>
      <c r="B285" s="5" t="s">
        <v>423</v>
      </c>
    </row>
    <row r="286" spans="1:2" x14ac:dyDescent="0.35">
      <c r="A286" s="4">
        <v>42500</v>
      </c>
      <c r="B286" s="5" t="s">
        <v>424</v>
      </c>
    </row>
    <row r="287" spans="1:2" x14ac:dyDescent="0.35">
      <c r="A287" s="4">
        <v>42600</v>
      </c>
      <c r="B287" s="5" t="s">
        <v>425</v>
      </c>
    </row>
    <row r="288" spans="1:2" x14ac:dyDescent="0.35">
      <c r="A288" s="4">
        <v>42610</v>
      </c>
      <c r="B288" s="5" t="s">
        <v>426</v>
      </c>
    </row>
    <row r="289" spans="1:2" x14ac:dyDescent="0.35">
      <c r="A289" s="4">
        <v>42620</v>
      </c>
      <c r="B289" s="5" t="s">
        <v>427</v>
      </c>
    </row>
    <row r="290" spans="1:2" x14ac:dyDescent="0.35">
      <c r="A290" s="4">
        <v>42700</v>
      </c>
      <c r="B290" s="5" t="s">
        <v>428</v>
      </c>
    </row>
    <row r="291" spans="1:2" x14ac:dyDescent="0.35">
      <c r="A291" s="4">
        <v>42710</v>
      </c>
      <c r="B291" s="5" t="s">
        <v>429</v>
      </c>
    </row>
    <row r="292" spans="1:2" x14ac:dyDescent="0.35">
      <c r="A292" s="4">
        <v>42800</v>
      </c>
      <c r="B292" s="5" t="s">
        <v>430</v>
      </c>
    </row>
    <row r="293" spans="1:2" x14ac:dyDescent="0.35">
      <c r="A293" s="4">
        <v>42900</v>
      </c>
      <c r="B293" s="5" t="s">
        <v>431</v>
      </c>
    </row>
    <row r="294" spans="1:2" x14ac:dyDescent="0.35">
      <c r="A294" s="4">
        <v>43200</v>
      </c>
      <c r="B294" s="5" t="s">
        <v>432</v>
      </c>
    </row>
    <row r="295" spans="1:2" x14ac:dyDescent="0.35">
      <c r="A295" s="4">
        <v>43300</v>
      </c>
      <c r="B295" s="5" t="s">
        <v>433</v>
      </c>
    </row>
    <row r="296" spans="1:2" x14ac:dyDescent="0.35">
      <c r="A296" s="4">
        <v>43800</v>
      </c>
      <c r="B296" s="5" t="s">
        <v>434</v>
      </c>
    </row>
    <row r="297" spans="1:2" x14ac:dyDescent="0.35">
      <c r="A297" s="4">
        <v>43900</v>
      </c>
      <c r="B297" s="5" t="s">
        <v>435</v>
      </c>
    </row>
    <row r="298" spans="1:2" x14ac:dyDescent="0.35">
      <c r="A298" s="4">
        <v>51100</v>
      </c>
      <c r="B298" s="5" t="s">
        <v>436</v>
      </c>
    </row>
    <row r="299" spans="1:2" x14ac:dyDescent="0.35">
      <c r="A299" s="4">
        <v>51200</v>
      </c>
      <c r="B299" s="5" t="s">
        <v>437</v>
      </c>
    </row>
    <row r="300" spans="1:2" x14ac:dyDescent="0.35">
      <c r="A300" s="4">
        <v>51300</v>
      </c>
      <c r="B300" s="5" t="s">
        <v>438</v>
      </c>
    </row>
    <row r="301" spans="1:2" x14ac:dyDescent="0.35">
      <c r="A301" s="4">
        <v>51400</v>
      </c>
      <c r="B301" s="5" t="s">
        <v>439</v>
      </c>
    </row>
    <row r="302" spans="1:2" x14ac:dyDescent="0.35">
      <c r="A302" s="4">
        <v>51900</v>
      </c>
      <c r="B302" s="5" t="s">
        <v>440</v>
      </c>
    </row>
    <row r="303" spans="1:2" x14ac:dyDescent="0.35">
      <c r="A303" s="4">
        <v>52100</v>
      </c>
      <c r="B303" s="5" t="s">
        <v>441</v>
      </c>
    </row>
    <row r="304" spans="1:2" x14ac:dyDescent="0.35">
      <c r="A304" s="4">
        <v>52200</v>
      </c>
      <c r="B304" s="5" t="s">
        <v>442</v>
      </c>
    </row>
    <row r="305" spans="1:2" x14ac:dyDescent="0.35">
      <c r="A305" s="4">
        <v>52300</v>
      </c>
      <c r="B305" s="5" t="s">
        <v>443</v>
      </c>
    </row>
    <row r="306" spans="1:2" x14ac:dyDescent="0.35">
      <c r="A306" s="4">
        <v>52400</v>
      </c>
      <c r="B306" s="5" t="s">
        <v>444</v>
      </c>
    </row>
    <row r="307" spans="1:2" x14ac:dyDescent="0.35">
      <c r="A307" s="4">
        <v>52500</v>
      </c>
      <c r="B307" s="5" t="s">
        <v>445</v>
      </c>
    </row>
    <row r="308" spans="1:2" x14ac:dyDescent="0.35">
      <c r="A308" s="4">
        <v>52600</v>
      </c>
      <c r="B308" s="5" t="s">
        <v>446</v>
      </c>
    </row>
    <row r="309" spans="1:2" x14ac:dyDescent="0.35">
      <c r="A309" s="4">
        <v>52700</v>
      </c>
      <c r="B309" s="5" t="s">
        <v>447</v>
      </c>
    </row>
    <row r="310" spans="1:2" x14ac:dyDescent="0.35">
      <c r="A310" s="4">
        <v>52800</v>
      </c>
      <c r="B310" s="5" t="s">
        <v>448</v>
      </c>
    </row>
    <row r="311" spans="1:2" x14ac:dyDescent="0.35">
      <c r="A311" s="4">
        <v>52900</v>
      </c>
      <c r="B311" s="5" t="s">
        <v>449</v>
      </c>
    </row>
    <row r="312" spans="1:2" x14ac:dyDescent="0.35">
      <c r="A312" s="4">
        <v>53000</v>
      </c>
      <c r="B312" s="5" t="s">
        <v>450</v>
      </c>
    </row>
    <row r="313" spans="1:2" x14ac:dyDescent="0.35">
      <c r="A313" s="4">
        <v>53010</v>
      </c>
      <c r="B313" s="5" t="s">
        <v>451</v>
      </c>
    </row>
    <row r="314" spans="1:2" x14ac:dyDescent="0.35">
      <c r="A314" s="4">
        <v>53100</v>
      </c>
      <c r="B314" s="5" t="s">
        <v>452</v>
      </c>
    </row>
    <row r="315" spans="1:2" x14ac:dyDescent="0.35">
      <c r="A315" s="4">
        <v>53150</v>
      </c>
      <c r="B315" s="5" t="s">
        <v>453</v>
      </c>
    </row>
    <row r="316" spans="1:2" x14ac:dyDescent="0.35">
      <c r="A316" s="4">
        <v>53200</v>
      </c>
      <c r="B316" s="5" t="s">
        <v>454</v>
      </c>
    </row>
    <row r="317" spans="1:2" x14ac:dyDescent="0.35">
      <c r="A317" s="4">
        <v>53250</v>
      </c>
      <c r="B317" s="5" t="s">
        <v>455</v>
      </c>
    </row>
    <row r="318" spans="1:2" x14ac:dyDescent="0.35">
      <c r="A318" s="4">
        <v>53300</v>
      </c>
      <c r="B318" s="5" t="s">
        <v>456</v>
      </c>
    </row>
    <row r="319" spans="1:2" x14ac:dyDescent="0.35">
      <c r="A319" s="4">
        <v>53350</v>
      </c>
      <c r="B319" s="5" t="s">
        <v>457</v>
      </c>
    </row>
    <row r="320" spans="1:2" x14ac:dyDescent="0.35">
      <c r="A320" s="4">
        <v>53400</v>
      </c>
      <c r="B320" s="5" t="s">
        <v>458</v>
      </c>
    </row>
    <row r="321" spans="1:2" x14ac:dyDescent="0.35">
      <c r="A321" s="4">
        <v>53450</v>
      </c>
      <c r="B321" s="5" t="s">
        <v>459</v>
      </c>
    </row>
    <row r="322" spans="1:2" x14ac:dyDescent="0.35">
      <c r="A322" s="4">
        <v>53460</v>
      </c>
      <c r="B322" s="5" t="s">
        <v>460</v>
      </c>
    </row>
    <row r="323" spans="1:2" x14ac:dyDescent="0.35">
      <c r="A323" s="4">
        <v>53500</v>
      </c>
      <c r="B323" s="5" t="s">
        <v>461</v>
      </c>
    </row>
    <row r="324" spans="1:2" x14ac:dyDescent="0.35">
      <c r="A324" s="4">
        <v>53550</v>
      </c>
      <c r="B324" s="5" t="s">
        <v>462</v>
      </c>
    </row>
    <row r="325" spans="1:2" x14ac:dyDescent="0.35">
      <c r="A325" s="4">
        <v>53600</v>
      </c>
      <c r="B325" s="5" t="s">
        <v>463</v>
      </c>
    </row>
    <row r="326" spans="1:2" x14ac:dyDescent="0.35">
      <c r="A326" s="4">
        <v>53650</v>
      </c>
      <c r="B326" s="5" t="s">
        <v>464</v>
      </c>
    </row>
    <row r="327" spans="1:2" x14ac:dyDescent="0.35">
      <c r="A327" s="4">
        <v>53700</v>
      </c>
      <c r="B327" s="5" t="s">
        <v>465</v>
      </c>
    </row>
    <row r="328" spans="1:2" x14ac:dyDescent="0.35">
      <c r="A328" s="4">
        <v>53900</v>
      </c>
      <c r="B328" s="5" t="s">
        <v>466</v>
      </c>
    </row>
    <row r="329" spans="1:2" x14ac:dyDescent="0.35">
      <c r="A329" s="4">
        <v>54200</v>
      </c>
      <c r="B329" s="5" t="s">
        <v>467</v>
      </c>
    </row>
    <row r="330" spans="1:2" x14ac:dyDescent="0.35">
      <c r="A330" s="4">
        <v>54300</v>
      </c>
      <c r="B330" s="5" t="s">
        <v>468</v>
      </c>
    </row>
    <row r="331" spans="1:2" x14ac:dyDescent="0.35">
      <c r="A331" s="4">
        <v>54400</v>
      </c>
      <c r="B331" s="5" t="s">
        <v>469</v>
      </c>
    </row>
    <row r="332" spans="1:2" x14ac:dyDescent="0.35">
      <c r="A332" s="4">
        <v>54500</v>
      </c>
      <c r="B332" s="5" t="s">
        <v>470</v>
      </c>
    </row>
    <row r="333" spans="1:2" x14ac:dyDescent="0.35">
      <c r="A333" s="4">
        <v>54600</v>
      </c>
      <c r="B333" s="5" t="s">
        <v>471</v>
      </c>
    </row>
    <row r="334" spans="1:2" x14ac:dyDescent="0.35">
      <c r="A334" s="4">
        <v>54900</v>
      </c>
      <c r="B334" s="5" t="s">
        <v>472</v>
      </c>
    </row>
    <row r="335" spans="1:2" x14ac:dyDescent="0.35">
      <c r="A335" s="4">
        <v>60000</v>
      </c>
      <c r="B335" s="5" t="s">
        <v>473</v>
      </c>
    </row>
    <row r="336" spans="1:2" x14ac:dyDescent="0.35">
      <c r="A336" s="4">
        <v>60100</v>
      </c>
      <c r="B336" s="5" t="s">
        <v>474</v>
      </c>
    </row>
    <row r="337" spans="1:2" x14ac:dyDescent="0.35">
      <c r="A337" s="4">
        <v>60200</v>
      </c>
      <c r="B337" s="5" t="s">
        <v>475</v>
      </c>
    </row>
    <row r="338" spans="1:2" x14ac:dyDescent="0.35">
      <c r="A338" s="4">
        <v>60300</v>
      </c>
      <c r="B338" s="5" t="s">
        <v>476</v>
      </c>
    </row>
    <row r="339" spans="1:2" x14ac:dyDescent="0.35">
      <c r="A339" s="4">
        <v>60400</v>
      </c>
      <c r="B339" s="5" t="s">
        <v>477</v>
      </c>
    </row>
    <row r="340" spans="1:2" x14ac:dyDescent="0.35">
      <c r="A340" s="4">
        <v>60410</v>
      </c>
      <c r="B340" s="5" t="s">
        <v>478</v>
      </c>
    </row>
    <row r="341" spans="1:2" x14ac:dyDescent="0.35">
      <c r="A341" s="4">
        <v>60500</v>
      </c>
      <c r="B341" s="5" t="s">
        <v>479</v>
      </c>
    </row>
    <row r="342" spans="1:2" x14ac:dyDescent="0.35">
      <c r="A342" s="4">
        <v>60600</v>
      </c>
      <c r="B342" s="5" t="s">
        <v>480</v>
      </c>
    </row>
    <row r="343" spans="1:2" x14ac:dyDescent="0.35">
      <c r="A343" s="4">
        <v>60601</v>
      </c>
      <c r="B343" s="5" t="s">
        <v>481</v>
      </c>
    </row>
    <row r="344" spans="1:2" x14ac:dyDescent="0.35">
      <c r="A344" s="4">
        <v>60602</v>
      </c>
      <c r="B344" s="5" t="s">
        <v>482</v>
      </c>
    </row>
    <row r="345" spans="1:2" x14ac:dyDescent="0.35">
      <c r="A345" s="4">
        <v>60603</v>
      </c>
      <c r="B345" s="5" t="s">
        <v>483</v>
      </c>
    </row>
    <row r="346" spans="1:2" x14ac:dyDescent="0.35">
      <c r="A346" s="4">
        <v>60604</v>
      </c>
      <c r="B346" s="5" t="s">
        <v>484</v>
      </c>
    </row>
    <row r="347" spans="1:2" x14ac:dyDescent="0.35">
      <c r="A347" s="4">
        <v>60605</v>
      </c>
      <c r="B347" s="5" t="s">
        <v>485</v>
      </c>
    </row>
    <row r="348" spans="1:2" x14ac:dyDescent="0.35">
      <c r="A348" s="4">
        <v>60606</v>
      </c>
      <c r="B348" s="5" t="s">
        <v>486</v>
      </c>
    </row>
    <row r="349" spans="1:2" x14ac:dyDescent="0.35">
      <c r="A349" s="4">
        <v>60607</v>
      </c>
      <c r="B349" s="5" t="s">
        <v>487</v>
      </c>
    </row>
    <row r="350" spans="1:2" x14ac:dyDescent="0.35">
      <c r="A350" s="4">
        <v>60608</v>
      </c>
      <c r="B350" s="5" t="s">
        <v>488</v>
      </c>
    </row>
    <row r="351" spans="1:2" x14ac:dyDescent="0.35">
      <c r="A351" s="4">
        <v>60700</v>
      </c>
      <c r="B351" s="5" t="s">
        <v>489</v>
      </c>
    </row>
    <row r="352" spans="1:2" x14ac:dyDescent="0.35">
      <c r="A352" s="4">
        <v>60800</v>
      </c>
      <c r="B352" s="5" t="s">
        <v>490</v>
      </c>
    </row>
    <row r="353" spans="1:2" x14ac:dyDescent="0.35">
      <c r="A353" s="4">
        <v>60900</v>
      </c>
      <c r="B353" s="5" t="s">
        <v>491</v>
      </c>
    </row>
    <row r="354" spans="1:2" x14ac:dyDescent="0.35">
      <c r="A354" s="4">
        <v>61000</v>
      </c>
      <c r="B354" s="5" t="s">
        <v>492</v>
      </c>
    </row>
    <row r="355" spans="1:2" x14ac:dyDescent="0.35">
      <c r="A355" s="4">
        <v>61100</v>
      </c>
      <c r="B355" s="5" t="s">
        <v>493</v>
      </c>
    </row>
    <row r="356" spans="1:2" x14ac:dyDescent="0.35">
      <c r="A356" s="4">
        <v>61120</v>
      </c>
      <c r="B356" s="5" t="s">
        <v>494</v>
      </c>
    </row>
    <row r="357" spans="1:2" x14ac:dyDescent="0.35">
      <c r="A357" s="4">
        <v>61140</v>
      </c>
      <c r="B357" s="5" t="s">
        <v>495</v>
      </c>
    </row>
    <row r="358" spans="1:2" x14ac:dyDescent="0.35">
      <c r="A358" s="4">
        <v>61160</v>
      </c>
      <c r="B358" s="5" t="s">
        <v>496</v>
      </c>
    </row>
    <row r="359" spans="1:2" x14ac:dyDescent="0.35">
      <c r="A359" s="4">
        <v>61180</v>
      </c>
      <c r="B359" s="5" t="s">
        <v>497</v>
      </c>
    </row>
    <row r="360" spans="1:2" x14ac:dyDescent="0.35">
      <c r="A360" s="4">
        <v>61200</v>
      </c>
      <c r="B360" s="5" t="s">
        <v>498</v>
      </c>
    </row>
    <row r="361" spans="1:2" x14ac:dyDescent="0.35">
      <c r="A361" s="4">
        <v>61220</v>
      </c>
      <c r="B361" s="5" t="s">
        <v>499</v>
      </c>
    </row>
    <row r="362" spans="1:2" x14ac:dyDescent="0.35">
      <c r="A362" s="4">
        <v>61240</v>
      </c>
      <c r="B362" s="5" t="s">
        <v>500</v>
      </c>
    </row>
    <row r="363" spans="1:2" x14ac:dyDescent="0.35">
      <c r="A363" s="4">
        <v>61260</v>
      </c>
      <c r="B363" s="5" t="s">
        <v>501</v>
      </c>
    </row>
    <row r="364" spans="1:2" x14ac:dyDescent="0.35">
      <c r="A364" s="4">
        <v>61280</v>
      </c>
      <c r="B364" s="5" t="s">
        <v>502</v>
      </c>
    </row>
    <row r="365" spans="1:2" x14ac:dyDescent="0.35">
      <c r="A365" s="4">
        <v>61300</v>
      </c>
      <c r="B365" s="5" t="s">
        <v>503</v>
      </c>
    </row>
    <row r="366" spans="1:2" x14ac:dyDescent="0.35">
      <c r="A366" s="4">
        <v>61320</v>
      </c>
      <c r="B366" s="5" t="s">
        <v>504</v>
      </c>
    </row>
    <row r="367" spans="1:2" x14ac:dyDescent="0.35">
      <c r="A367" s="4">
        <v>61340</v>
      </c>
      <c r="B367" s="5" t="s">
        <v>505</v>
      </c>
    </row>
    <row r="368" spans="1:2" x14ac:dyDescent="0.35">
      <c r="A368" s="4">
        <v>61360</v>
      </c>
      <c r="B368" s="5" t="s">
        <v>506</v>
      </c>
    </row>
    <row r="369" spans="1:2" x14ac:dyDescent="0.35">
      <c r="A369" s="4">
        <v>61380</v>
      </c>
      <c r="B369" s="5" t="s">
        <v>507</v>
      </c>
    </row>
    <row r="370" spans="1:2" x14ac:dyDescent="0.35">
      <c r="A370" s="4">
        <v>61400</v>
      </c>
      <c r="B370" s="5" t="s">
        <v>508</v>
      </c>
    </row>
    <row r="371" spans="1:2" x14ac:dyDescent="0.35">
      <c r="A371" s="4">
        <v>61420</v>
      </c>
      <c r="B371" s="5" t="s">
        <v>509</v>
      </c>
    </row>
    <row r="372" spans="1:2" x14ac:dyDescent="0.35">
      <c r="A372" s="4">
        <v>61440</v>
      </c>
      <c r="B372" s="5" t="s">
        <v>510</v>
      </c>
    </row>
    <row r="373" spans="1:2" x14ac:dyDescent="0.35">
      <c r="A373" s="4">
        <v>61450</v>
      </c>
      <c r="B373" s="5" t="s">
        <v>511</v>
      </c>
    </row>
    <row r="374" spans="1:2" x14ac:dyDescent="0.35">
      <c r="A374" s="4">
        <v>61460</v>
      </c>
      <c r="B374" s="5" t="s">
        <v>512</v>
      </c>
    </row>
    <row r="375" spans="1:2" x14ac:dyDescent="0.35">
      <c r="A375" s="4">
        <v>61480</v>
      </c>
      <c r="B375" s="5" t="s">
        <v>513</v>
      </c>
    </row>
    <row r="376" spans="1:2" x14ac:dyDescent="0.35">
      <c r="A376" s="4">
        <v>61500</v>
      </c>
      <c r="B376" s="5" t="s">
        <v>514</v>
      </c>
    </row>
    <row r="377" spans="1:2" x14ac:dyDescent="0.35">
      <c r="A377" s="4">
        <v>61520</v>
      </c>
      <c r="B377" s="5" t="s">
        <v>515</v>
      </c>
    </row>
    <row r="378" spans="1:2" x14ac:dyDescent="0.35">
      <c r="A378" s="4">
        <v>61540</v>
      </c>
      <c r="B378" s="5" t="s">
        <v>516</v>
      </c>
    </row>
    <row r="379" spans="1:2" x14ac:dyDescent="0.35">
      <c r="A379" s="4">
        <v>61560</v>
      </c>
      <c r="B379" s="5" t="s">
        <v>517</v>
      </c>
    </row>
    <row r="380" spans="1:2" x14ac:dyDescent="0.35">
      <c r="A380" s="4">
        <v>61580</v>
      </c>
      <c r="B380" s="5" t="s">
        <v>518</v>
      </c>
    </row>
    <row r="381" spans="1:2" x14ac:dyDescent="0.35">
      <c r="A381" s="4">
        <v>61600</v>
      </c>
      <c r="B381" s="5" t="s">
        <v>519</v>
      </c>
    </row>
    <row r="382" spans="1:2" x14ac:dyDescent="0.35">
      <c r="A382" s="4">
        <v>61620</v>
      </c>
      <c r="B382" s="5" t="s">
        <v>520</v>
      </c>
    </row>
    <row r="383" spans="1:2" x14ac:dyDescent="0.35">
      <c r="A383" s="4">
        <v>61640</v>
      </c>
      <c r="B383" s="5" t="s">
        <v>521</v>
      </c>
    </row>
    <row r="384" spans="1:2" x14ac:dyDescent="0.35">
      <c r="A384" s="4">
        <v>61660</v>
      </c>
      <c r="B384" s="5" t="s">
        <v>522</v>
      </c>
    </row>
    <row r="385" spans="1:2" x14ac:dyDescent="0.35">
      <c r="A385" s="4">
        <v>61680</v>
      </c>
      <c r="B385" s="5" t="s">
        <v>523</v>
      </c>
    </row>
    <row r="386" spans="1:2" x14ac:dyDescent="0.35">
      <c r="A386" s="4">
        <v>61690</v>
      </c>
      <c r="B386" s="5" t="s">
        <v>524</v>
      </c>
    </row>
    <row r="387" spans="1:2" x14ac:dyDescent="0.35">
      <c r="A387" s="4">
        <v>61700</v>
      </c>
      <c r="B387" s="5" t="s">
        <v>525</v>
      </c>
    </row>
    <row r="388" spans="1:2" x14ac:dyDescent="0.35">
      <c r="A388" s="4">
        <v>61720</v>
      </c>
      <c r="B388" s="5" t="s">
        <v>526</v>
      </c>
    </row>
    <row r="389" spans="1:2" x14ac:dyDescent="0.35">
      <c r="A389" s="4">
        <v>61900</v>
      </c>
      <c r="B389" s="5" t="s">
        <v>527</v>
      </c>
    </row>
    <row r="390" spans="1:2" x14ac:dyDescent="0.35">
      <c r="A390" s="4">
        <v>62100</v>
      </c>
      <c r="B390" s="5" t="s">
        <v>528</v>
      </c>
    </row>
    <row r="391" spans="1:2" x14ac:dyDescent="0.35">
      <c r="A391" s="4">
        <v>62101</v>
      </c>
      <c r="B391" s="5" t="s">
        <v>529</v>
      </c>
    </row>
    <row r="392" spans="1:2" x14ac:dyDescent="0.35">
      <c r="A392" s="4">
        <v>62102</v>
      </c>
      <c r="B392" s="5" t="s">
        <v>530</v>
      </c>
    </row>
    <row r="393" spans="1:2" x14ac:dyDescent="0.35">
      <c r="A393" s="4">
        <v>62103</v>
      </c>
      <c r="B393" s="5" t="s">
        <v>531</v>
      </c>
    </row>
    <row r="394" spans="1:2" x14ac:dyDescent="0.35">
      <c r="A394" s="4">
        <v>62104</v>
      </c>
      <c r="B394" s="5" t="s">
        <v>532</v>
      </c>
    </row>
    <row r="395" spans="1:2" x14ac:dyDescent="0.35">
      <c r="A395" s="4">
        <v>62105</v>
      </c>
      <c r="B395" s="5" t="s">
        <v>533</v>
      </c>
    </row>
    <row r="396" spans="1:2" x14ac:dyDescent="0.35">
      <c r="A396" s="4">
        <v>62106</v>
      </c>
      <c r="B396" s="5" t="s">
        <v>534</v>
      </c>
    </row>
    <row r="397" spans="1:2" x14ac:dyDescent="0.35">
      <c r="A397" s="4">
        <v>62107</v>
      </c>
      <c r="B397" s="5" t="s">
        <v>535</v>
      </c>
    </row>
    <row r="398" spans="1:2" x14ac:dyDescent="0.35">
      <c r="A398" s="4">
        <v>62108</v>
      </c>
      <c r="B398" s="5" t="s">
        <v>536</v>
      </c>
    </row>
    <row r="399" spans="1:2" x14ac:dyDescent="0.35">
      <c r="A399" s="4">
        <v>62109</v>
      </c>
      <c r="B399" s="5" t="s">
        <v>537</v>
      </c>
    </row>
    <row r="400" spans="1:2" x14ac:dyDescent="0.35">
      <c r="A400" s="4">
        <v>62110</v>
      </c>
      <c r="B400" s="5" t="s">
        <v>538</v>
      </c>
    </row>
    <row r="401" spans="1:2" x14ac:dyDescent="0.35">
      <c r="A401" s="4">
        <v>62120</v>
      </c>
      <c r="B401" s="5" t="s">
        <v>539</v>
      </c>
    </row>
    <row r="402" spans="1:2" x14ac:dyDescent="0.35">
      <c r="A402" s="4">
        <v>62130</v>
      </c>
      <c r="B402" s="5" t="s">
        <v>540</v>
      </c>
    </row>
    <row r="403" spans="1:2" x14ac:dyDescent="0.35">
      <c r="A403" s="4">
        <v>62140</v>
      </c>
      <c r="B403" s="5" t="s">
        <v>541</v>
      </c>
    </row>
    <row r="404" spans="1:2" x14ac:dyDescent="0.35">
      <c r="A404" s="4">
        <v>62150</v>
      </c>
      <c r="B404" s="5" t="s">
        <v>542</v>
      </c>
    </row>
    <row r="405" spans="1:2" x14ac:dyDescent="0.35">
      <c r="A405" s="4">
        <v>62160</v>
      </c>
      <c r="B405" s="5" t="s">
        <v>543</v>
      </c>
    </row>
    <row r="406" spans="1:2" x14ac:dyDescent="0.35">
      <c r="A406" s="4">
        <v>62170</v>
      </c>
      <c r="B406" s="5" t="s">
        <v>544</v>
      </c>
    </row>
    <row r="407" spans="1:2" x14ac:dyDescent="0.35">
      <c r="A407" s="4">
        <v>62180</v>
      </c>
      <c r="B407" s="5" t="s">
        <v>545</v>
      </c>
    </row>
    <row r="408" spans="1:2" x14ac:dyDescent="0.35">
      <c r="A408" s="4">
        <v>62190</v>
      </c>
      <c r="B408" s="5" t="s">
        <v>546</v>
      </c>
    </row>
    <row r="409" spans="1:2" x14ac:dyDescent="0.35">
      <c r="A409" s="4">
        <v>62200</v>
      </c>
      <c r="B409" s="5" t="s">
        <v>547</v>
      </c>
    </row>
    <row r="410" spans="1:2" x14ac:dyDescent="0.35">
      <c r="A410" s="4">
        <v>62210</v>
      </c>
      <c r="B410" s="5" t="s">
        <v>548</v>
      </c>
    </row>
    <row r="411" spans="1:2" x14ac:dyDescent="0.35">
      <c r="A411" s="4">
        <v>62220</v>
      </c>
      <c r="B411" s="5" t="s">
        <v>549</v>
      </c>
    </row>
    <row r="412" spans="1:2" x14ac:dyDescent="0.35">
      <c r="A412" s="4">
        <v>62300</v>
      </c>
      <c r="B412" s="5" t="s">
        <v>550</v>
      </c>
    </row>
    <row r="413" spans="1:2" x14ac:dyDescent="0.35">
      <c r="A413" s="4">
        <v>62310</v>
      </c>
      <c r="B413" s="5" t="s">
        <v>551</v>
      </c>
    </row>
    <row r="414" spans="1:2" x14ac:dyDescent="0.35">
      <c r="A414" s="4">
        <v>62400</v>
      </c>
      <c r="B414" s="5" t="s">
        <v>552</v>
      </c>
    </row>
    <row r="415" spans="1:2" x14ac:dyDescent="0.35">
      <c r="A415" s="4">
        <v>62500</v>
      </c>
      <c r="B415" s="5" t="s">
        <v>553</v>
      </c>
    </row>
    <row r="416" spans="1:2" x14ac:dyDescent="0.35">
      <c r="A416" s="4">
        <v>62900</v>
      </c>
      <c r="B416" s="5" t="s">
        <v>554</v>
      </c>
    </row>
    <row r="417" spans="1:2" x14ac:dyDescent="0.35">
      <c r="A417" s="4">
        <v>63100</v>
      </c>
      <c r="B417" s="5" t="s">
        <v>555</v>
      </c>
    </row>
    <row r="418" spans="1:2" x14ac:dyDescent="0.35">
      <c r="A418" s="4">
        <v>63200</v>
      </c>
      <c r="B418" s="5" t="s">
        <v>556</v>
      </c>
    </row>
    <row r="419" spans="1:2" x14ac:dyDescent="0.35">
      <c r="A419" s="4">
        <v>63300</v>
      </c>
      <c r="B419" s="5" t="s">
        <v>557</v>
      </c>
    </row>
    <row r="420" spans="1:2" x14ac:dyDescent="0.35">
      <c r="A420" s="4">
        <v>63400</v>
      </c>
      <c r="B420" s="5" t="s">
        <v>558</v>
      </c>
    </row>
    <row r="421" spans="1:2" x14ac:dyDescent="0.35">
      <c r="A421" s="4">
        <v>63500</v>
      </c>
      <c r="B421" s="5" t="s">
        <v>559</v>
      </c>
    </row>
    <row r="422" spans="1:2" x14ac:dyDescent="0.35">
      <c r="A422" s="4">
        <v>63900</v>
      </c>
      <c r="B422" s="5" t="s">
        <v>560</v>
      </c>
    </row>
    <row r="423" spans="1:2" x14ac:dyDescent="0.35">
      <c r="A423" s="4">
        <v>64100</v>
      </c>
      <c r="B423" s="5" t="s">
        <v>561</v>
      </c>
    </row>
    <row r="424" spans="1:2" x14ac:dyDescent="0.35">
      <c r="A424" s="4">
        <v>65100</v>
      </c>
      <c r="B424" s="5" t="s">
        <v>562</v>
      </c>
    </row>
    <row r="425" spans="1:2" x14ac:dyDescent="0.35">
      <c r="A425" s="4">
        <v>65200</v>
      </c>
      <c r="B425" s="5" t="s">
        <v>563</v>
      </c>
    </row>
    <row r="426" spans="1:2" x14ac:dyDescent="0.35">
      <c r="A426" s="4">
        <v>65300</v>
      </c>
      <c r="B426" s="5" t="s">
        <v>564</v>
      </c>
    </row>
    <row r="427" spans="1:2" x14ac:dyDescent="0.35">
      <c r="A427" s="4">
        <v>65400</v>
      </c>
      <c r="B427" s="5" t="s">
        <v>565</v>
      </c>
    </row>
    <row r="428" spans="1:2" x14ac:dyDescent="0.35">
      <c r="A428" s="4">
        <v>65410</v>
      </c>
      <c r="B428" s="5" t="s">
        <v>566</v>
      </c>
    </row>
    <row r="429" spans="1:2" x14ac:dyDescent="0.35">
      <c r="A429" s="4">
        <v>65500</v>
      </c>
      <c r="B429" s="5" t="s">
        <v>567</v>
      </c>
    </row>
    <row r="430" spans="1:2" x14ac:dyDescent="0.35">
      <c r="A430" s="4">
        <v>65900</v>
      </c>
      <c r="B430" s="5" t="s">
        <v>568</v>
      </c>
    </row>
    <row r="431" spans="1:2" x14ac:dyDescent="0.35">
      <c r="A431" s="4">
        <v>66100</v>
      </c>
      <c r="B431" s="5" t="s">
        <v>569</v>
      </c>
    </row>
    <row r="432" spans="1:2" x14ac:dyDescent="0.35">
      <c r="A432" s="4">
        <v>67200</v>
      </c>
      <c r="B432" s="5" t="s">
        <v>570</v>
      </c>
    </row>
    <row r="433" spans="1:2" x14ac:dyDescent="0.35">
      <c r="A433" s="4">
        <v>67400</v>
      </c>
      <c r="B433" s="5" t="s">
        <v>571</v>
      </c>
    </row>
    <row r="434" spans="1:2" x14ac:dyDescent="0.35">
      <c r="A434" s="4">
        <v>67500</v>
      </c>
      <c r="B434" s="5" t="s">
        <v>572</v>
      </c>
    </row>
    <row r="435" spans="1:2" x14ac:dyDescent="0.35">
      <c r="A435" s="4">
        <v>68000</v>
      </c>
      <c r="B435" s="5" t="s">
        <v>573</v>
      </c>
    </row>
    <row r="436" spans="1:2" x14ac:dyDescent="0.35">
      <c r="A436" s="4">
        <v>68100</v>
      </c>
      <c r="B436" s="5" t="s">
        <v>574</v>
      </c>
    </row>
    <row r="437" spans="1:2" x14ac:dyDescent="0.35">
      <c r="A437" s="4">
        <v>68200</v>
      </c>
      <c r="B437" s="5" t="s">
        <v>575</v>
      </c>
    </row>
    <row r="438" spans="1:2" x14ac:dyDescent="0.35">
      <c r="A438" s="4">
        <v>68300</v>
      </c>
      <c r="B438" s="5" t="s">
        <v>576</v>
      </c>
    </row>
    <row r="439" spans="1:2" x14ac:dyDescent="0.35">
      <c r="A439" s="4">
        <v>69000</v>
      </c>
      <c r="B439" s="5" t="s">
        <v>577</v>
      </c>
    </row>
    <row r="440" spans="1:2" x14ac:dyDescent="0.35">
      <c r="A440" s="4">
        <v>69100</v>
      </c>
      <c r="B440" s="5" t="s">
        <v>578</v>
      </c>
    </row>
    <row r="441" spans="1:2" x14ac:dyDescent="0.35">
      <c r="A441" s="4">
        <v>69200</v>
      </c>
      <c r="B441" s="5" t="s">
        <v>579</v>
      </c>
    </row>
    <row r="442" spans="1:2" x14ac:dyDescent="0.35">
      <c r="A442" s="4">
        <v>69300</v>
      </c>
      <c r="B442" s="5" t="s">
        <v>580</v>
      </c>
    </row>
    <row r="443" spans="1:2" x14ac:dyDescent="0.35">
      <c r="A443" s="4">
        <v>69900</v>
      </c>
      <c r="B443" s="5" t="s">
        <v>581</v>
      </c>
    </row>
    <row r="444" spans="1:2" x14ac:dyDescent="0.35">
      <c r="A444" s="4">
        <v>71000</v>
      </c>
      <c r="B444" s="5" t="s">
        <v>582</v>
      </c>
    </row>
    <row r="445" spans="1:2" x14ac:dyDescent="0.35">
      <c r="A445" s="4">
        <v>71010</v>
      </c>
      <c r="B445" s="5" t="s">
        <v>583</v>
      </c>
    </row>
    <row r="446" spans="1:2" x14ac:dyDescent="0.35">
      <c r="A446" s="4">
        <v>71020</v>
      </c>
      <c r="B446" s="5" t="s">
        <v>584</v>
      </c>
    </row>
    <row r="447" spans="1:2" x14ac:dyDescent="0.35">
      <c r="A447" s="4">
        <v>71100</v>
      </c>
      <c r="B447" s="5" t="s">
        <v>585</v>
      </c>
    </row>
    <row r="448" spans="1:2" x14ac:dyDescent="0.35">
      <c r="A448" s="4">
        <v>71200</v>
      </c>
      <c r="B448" s="5" t="s">
        <v>586</v>
      </c>
    </row>
    <row r="449" spans="1:2" x14ac:dyDescent="0.35">
      <c r="A449" s="4">
        <v>71300</v>
      </c>
      <c r="B449" s="5" t="s">
        <v>587</v>
      </c>
    </row>
    <row r="450" spans="1:2" x14ac:dyDescent="0.35">
      <c r="A450" s="4">
        <v>71310</v>
      </c>
      <c r="B450" s="5" t="s">
        <v>588</v>
      </c>
    </row>
    <row r="451" spans="1:2" x14ac:dyDescent="0.35">
      <c r="A451" s="4">
        <v>71400</v>
      </c>
      <c r="B451" s="5" t="s">
        <v>589</v>
      </c>
    </row>
    <row r="452" spans="1:2" x14ac:dyDescent="0.35">
      <c r="A452" s="4">
        <v>71500</v>
      </c>
      <c r="B452" s="5" t="s">
        <v>590</v>
      </c>
    </row>
    <row r="453" spans="1:2" x14ac:dyDescent="0.35">
      <c r="A453" s="4">
        <v>71600</v>
      </c>
      <c r="B453" s="5" t="s">
        <v>591</v>
      </c>
    </row>
    <row r="454" spans="1:2" x14ac:dyDescent="0.35">
      <c r="A454" s="4">
        <v>71900</v>
      </c>
      <c r="B454" s="5" t="s">
        <v>592</v>
      </c>
    </row>
    <row r="455" spans="1:2" x14ac:dyDescent="0.35">
      <c r="A455" s="4">
        <v>72200</v>
      </c>
      <c r="B455" s="5" t="s">
        <v>593</v>
      </c>
    </row>
    <row r="456" spans="1:2" x14ac:dyDescent="0.35">
      <c r="A456" s="4">
        <v>72300</v>
      </c>
      <c r="B456" s="5" t="s">
        <v>594</v>
      </c>
    </row>
    <row r="457" spans="1:2" x14ac:dyDescent="0.35">
      <c r="A457" s="4">
        <v>72400</v>
      </c>
      <c r="B457" s="5" t="s">
        <v>595</v>
      </c>
    </row>
    <row r="458" spans="1:2" x14ac:dyDescent="0.35">
      <c r="A458" s="4">
        <v>72900</v>
      </c>
      <c r="B458" s="5" t="s">
        <v>596</v>
      </c>
    </row>
    <row r="459" spans="1:2" x14ac:dyDescent="0.35">
      <c r="A459" s="4">
        <v>73100</v>
      </c>
      <c r="B459" s="5" t="s">
        <v>597</v>
      </c>
    </row>
    <row r="460" spans="1:2" x14ac:dyDescent="0.35">
      <c r="A460" s="4">
        <v>74100</v>
      </c>
      <c r="B460" s="5" t="s">
        <v>598</v>
      </c>
    </row>
    <row r="461" spans="1:2" x14ac:dyDescent="0.35">
      <c r="A461" s="4">
        <v>75000</v>
      </c>
      <c r="B461" s="5" t="s">
        <v>599</v>
      </c>
    </row>
    <row r="462" spans="1:2" x14ac:dyDescent="0.35">
      <c r="A462" s="4">
        <v>75100</v>
      </c>
      <c r="B462" s="5" t="s">
        <v>600</v>
      </c>
    </row>
    <row r="463" spans="1:2" x14ac:dyDescent="0.35">
      <c r="A463" s="4">
        <v>75110</v>
      </c>
      <c r="B463" s="5" t="s">
        <v>601</v>
      </c>
    </row>
    <row r="464" spans="1:2" x14ac:dyDescent="0.35">
      <c r="A464" s="4">
        <v>75200</v>
      </c>
      <c r="B464" s="5" t="s">
        <v>602</v>
      </c>
    </row>
    <row r="465" spans="1:2" x14ac:dyDescent="0.35">
      <c r="A465" s="4">
        <v>75300</v>
      </c>
      <c r="B465" s="5" t="s">
        <v>603</v>
      </c>
    </row>
    <row r="466" spans="1:2" x14ac:dyDescent="0.35">
      <c r="A466" s="4">
        <v>76000</v>
      </c>
      <c r="B466" s="5" t="s">
        <v>604</v>
      </c>
    </row>
    <row r="467" spans="1:2" x14ac:dyDescent="0.35">
      <c r="A467" s="4">
        <v>76100</v>
      </c>
      <c r="B467" s="5" t="s">
        <v>605</v>
      </c>
    </row>
    <row r="468" spans="1:2" x14ac:dyDescent="0.35">
      <c r="A468" s="4">
        <v>76110</v>
      </c>
      <c r="B468" s="5" t="s">
        <v>606</v>
      </c>
    </row>
    <row r="469" spans="1:2" x14ac:dyDescent="0.35">
      <c r="A469" s="4">
        <v>76120</v>
      </c>
      <c r="B469" s="5" t="s">
        <v>607</v>
      </c>
    </row>
    <row r="470" spans="1:2" x14ac:dyDescent="0.35">
      <c r="A470" s="4">
        <v>76130</v>
      </c>
      <c r="B470" s="5" t="s">
        <v>608</v>
      </c>
    </row>
    <row r="471" spans="1:2" x14ac:dyDescent="0.35">
      <c r="A471" s="4">
        <v>76140</v>
      </c>
      <c r="B471" s="5" t="s">
        <v>609</v>
      </c>
    </row>
    <row r="472" spans="1:2" x14ac:dyDescent="0.35">
      <c r="A472" s="4">
        <v>76200</v>
      </c>
      <c r="B472" s="5" t="s">
        <v>610</v>
      </c>
    </row>
    <row r="473" spans="1:2" x14ac:dyDescent="0.35">
      <c r="A473" s="4">
        <v>76300</v>
      </c>
      <c r="B473" s="5" t="s">
        <v>611</v>
      </c>
    </row>
    <row r="474" spans="1:2" x14ac:dyDescent="0.35">
      <c r="A474" s="4">
        <v>76400</v>
      </c>
      <c r="B474" s="5" t="s">
        <v>612</v>
      </c>
    </row>
    <row r="475" spans="1:2" x14ac:dyDescent="0.35">
      <c r="A475" s="4">
        <v>76500</v>
      </c>
      <c r="B475" s="5" t="s">
        <v>613</v>
      </c>
    </row>
    <row r="476" spans="1:2" x14ac:dyDescent="0.35">
      <c r="A476" s="4">
        <v>76600</v>
      </c>
      <c r="B476" s="5" t="s">
        <v>614</v>
      </c>
    </row>
    <row r="477" spans="1:2" x14ac:dyDescent="0.35">
      <c r="A477" s="4">
        <v>77100</v>
      </c>
      <c r="B477" s="5" t="s">
        <v>615</v>
      </c>
    </row>
    <row r="478" spans="1:2" x14ac:dyDescent="0.35">
      <c r="A478" s="4">
        <v>79200</v>
      </c>
      <c r="B478" s="5" t="s">
        <v>616</v>
      </c>
    </row>
    <row r="479" spans="1:2" x14ac:dyDescent="0.35">
      <c r="A479" s="4">
        <v>79300</v>
      </c>
      <c r="B479" s="5" t="s">
        <v>617</v>
      </c>
    </row>
    <row r="480" spans="1:2" x14ac:dyDescent="0.35">
      <c r="A480" s="4">
        <v>79310</v>
      </c>
      <c r="B480" s="5" t="s">
        <v>618</v>
      </c>
    </row>
    <row r="481" spans="1:2" x14ac:dyDescent="0.35">
      <c r="A481" s="4">
        <v>79400</v>
      </c>
      <c r="B481" s="5" t="s">
        <v>619</v>
      </c>
    </row>
    <row r="482" spans="1:2" x14ac:dyDescent="0.35">
      <c r="A482" s="4">
        <v>79900</v>
      </c>
      <c r="B482" s="5" t="s">
        <v>620</v>
      </c>
    </row>
    <row r="483" spans="1:2" x14ac:dyDescent="0.35">
      <c r="A483" s="4">
        <v>81100</v>
      </c>
      <c r="B483" s="5" t="s">
        <v>621</v>
      </c>
    </row>
    <row r="484" spans="1:2" x14ac:dyDescent="0.35">
      <c r="A484" s="4">
        <v>81200</v>
      </c>
      <c r="B484" s="5" t="s">
        <v>622</v>
      </c>
    </row>
    <row r="485" spans="1:2" x14ac:dyDescent="0.35">
      <c r="A485" s="4">
        <v>81300</v>
      </c>
      <c r="B485" s="5" t="s">
        <v>623</v>
      </c>
    </row>
    <row r="486" spans="1:2" x14ac:dyDescent="0.35">
      <c r="A486" s="4">
        <v>82200</v>
      </c>
      <c r="B486" s="5" t="s">
        <v>624</v>
      </c>
    </row>
    <row r="487" spans="1:2" x14ac:dyDescent="0.35">
      <c r="A487" s="4">
        <v>82300</v>
      </c>
      <c r="B487" s="5" t="s">
        <v>625</v>
      </c>
    </row>
    <row r="488" spans="1:2" x14ac:dyDescent="0.35">
      <c r="A488" s="4">
        <v>82400</v>
      </c>
      <c r="B488" s="5" t="s">
        <v>626</v>
      </c>
    </row>
    <row r="489" spans="1:2" x14ac:dyDescent="0.35">
      <c r="A489" s="4">
        <v>82500</v>
      </c>
      <c r="B489" s="5" t="s">
        <v>627</v>
      </c>
    </row>
    <row r="490" spans="1:2" x14ac:dyDescent="0.35">
      <c r="A490" s="4">
        <v>83000</v>
      </c>
      <c r="B490" s="5" t="s">
        <v>628</v>
      </c>
    </row>
    <row r="491" spans="1:2" x14ac:dyDescent="0.35">
      <c r="A491" s="4">
        <v>83100</v>
      </c>
      <c r="B491" s="5" t="s">
        <v>629</v>
      </c>
    </row>
    <row r="492" spans="1:2" x14ac:dyDescent="0.35">
      <c r="A492" s="4">
        <v>83200</v>
      </c>
      <c r="B492" s="5" t="s">
        <v>630</v>
      </c>
    </row>
    <row r="493" spans="1:2" x14ac:dyDescent="0.35">
      <c r="A493" s="4">
        <v>83210</v>
      </c>
      <c r="B493" s="5" t="s">
        <v>631</v>
      </c>
    </row>
    <row r="494" spans="1:2" x14ac:dyDescent="0.35">
      <c r="A494" s="4">
        <v>83300</v>
      </c>
      <c r="B494" s="5" t="s">
        <v>632</v>
      </c>
    </row>
    <row r="495" spans="1:2" x14ac:dyDescent="0.35">
      <c r="A495" s="4">
        <v>83400</v>
      </c>
      <c r="B495" s="5" t="s">
        <v>633</v>
      </c>
    </row>
    <row r="496" spans="1:2" x14ac:dyDescent="0.35">
      <c r="A496" s="4">
        <v>83410</v>
      </c>
      <c r="B496" s="5" t="s">
        <v>634</v>
      </c>
    </row>
    <row r="497" spans="1:2" x14ac:dyDescent="0.35">
      <c r="A497" s="4">
        <v>83500</v>
      </c>
      <c r="B497" s="5" t="s">
        <v>635</v>
      </c>
    </row>
    <row r="498" spans="1:2" x14ac:dyDescent="0.35">
      <c r="A498" s="4">
        <v>83510</v>
      </c>
      <c r="B498" s="5" t="s">
        <v>636</v>
      </c>
    </row>
    <row r="499" spans="1:2" x14ac:dyDescent="0.35">
      <c r="A499" s="4">
        <v>83520</v>
      </c>
      <c r="B499" s="5" t="s">
        <v>637</v>
      </c>
    </row>
    <row r="500" spans="1:2" x14ac:dyDescent="0.35">
      <c r="A500" s="4">
        <v>84100</v>
      </c>
      <c r="B500" s="5" t="s">
        <v>638</v>
      </c>
    </row>
    <row r="501" spans="1:2" x14ac:dyDescent="0.35">
      <c r="A501" s="4">
        <v>84200</v>
      </c>
      <c r="B501" s="5" t="s">
        <v>639</v>
      </c>
    </row>
    <row r="502" spans="1:2" x14ac:dyDescent="0.35">
      <c r="A502" s="4">
        <v>84300</v>
      </c>
      <c r="B502" s="5" t="s">
        <v>640</v>
      </c>
    </row>
    <row r="503" spans="1:2" x14ac:dyDescent="0.35">
      <c r="A503" s="4">
        <v>84310</v>
      </c>
      <c r="B503" s="5" t="s">
        <v>641</v>
      </c>
    </row>
    <row r="504" spans="1:2" x14ac:dyDescent="0.35">
      <c r="A504" s="4">
        <v>84400</v>
      </c>
      <c r="B504" s="5" t="s">
        <v>642</v>
      </c>
    </row>
    <row r="505" spans="1:2" x14ac:dyDescent="0.35">
      <c r="A505" s="4">
        <v>84500</v>
      </c>
      <c r="B505" s="5" t="s">
        <v>643</v>
      </c>
    </row>
    <row r="506" spans="1:2" x14ac:dyDescent="0.35">
      <c r="A506" s="4">
        <v>84510</v>
      </c>
      <c r="B506" s="5" t="s">
        <v>644</v>
      </c>
    </row>
    <row r="507" spans="1:2" x14ac:dyDescent="0.35">
      <c r="A507" s="4">
        <v>84520</v>
      </c>
      <c r="B507" s="5" t="s">
        <v>645</v>
      </c>
    </row>
    <row r="508" spans="1:2" x14ac:dyDescent="0.35">
      <c r="A508" s="4">
        <v>84530</v>
      </c>
      <c r="B508" s="5" t="s">
        <v>646</v>
      </c>
    </row>
    <row r="509" spans="1:2" x14ac:dyDescent="0.35">
      <c r="A509" s="4">
        <v>84600</v>
      </c>
      <c r="B509" s="5" t="s">
        <v>647</v>
      </c>
    </row>
    <row r="510" spans="1:2" x14ac:dyDescent="0.35">
      <c r="A510" s="4">
        <v>84700</v>
      </c>
      <c r="B510" s="5" t="s">
        <v>648</v>
      </c>
    </row>
    <row r="511" spans="1:2" x14ac:dyDescent="0.35">
      <c r="A511" s="4">
        <v>84710</v>
      </c>
      <c r="B511" s="5" t="s">
        <v>649</v>
      </c>
    </row>
    <row r="512" spans="1:2" x14ac:dyDescent="0.35">
      <c r="A512" s="4">
        <v>84720</v>
      </c>
      <c r="B512" s="5" t="s">
        <v>650</v>
      </c>
    </row>
    <row r="513" spans="1:2" x14ac:dyDescent="0.35">
      <c r="A513" s="4">
        <v>84800</v>
      </c>
      <c r="B513" s="5" t="s">
        <v>651</v>
      </c>
    </row>
    <row r="514" spans="1:2" x14ac:dyDescent="0.35">
      <c r="A514" s="4">
        <v>84900</v>
      </c>
      <c r="B514" s="5" t="s">
        <v>652</v>
      </c>
    </row>
    <row r="515" spans="1:2" x14ac:dyDescent="0.35">
      <c r="A515" s="4">
        <v>85000</v>
      </c>
      <c r="B515" s="5" t="s">
        <v>653</v>
      </c>
    </row>
    <row r="516" spans="1:2" x14ac:dyDescent="0.35">
      <c r="A516" s="4">
        <v>85100</v>
      </c>
      <c r="B516" s="5" t="s">
        <v>654</v>
      </c>
    </row>
    <row r="517" spans="1:2" x14ac:dyDescent="0.35">
      <c r="A517" s="4">
        <v>85200</v>
      </c>
      <c r="B517" s="5" t="s">
        <v>655</v>
      </c>
    </row>
    <row r="518" spans="1:2" x14ac:dyDescent="0.35">
      <c r="A518" s="4">
        <v>85300</v>
      </c>
      <c r="B518" s="5" t="s">
        <v>656</v>
      </c>
    </row>
    <row r="519" spans="1:2" x14ac:dyDescent="0.35">
      <c r="A519" s="4">
        <v>85500</v>
      </c>
      <c r="B519" s="5" t="s">
        <v>657</v>
      </c>
    </row>
    <row r="520" spans="1:2" x14ac:dyDescent="0.35">
      <c r="A520" s="4">
        <v>85510</v>
      </c>
      <c r="B520" s="5" t="s">
        <v>658</v>
      </c>
    </row>
    <row r="521" spans="1:2" x14ac:dyDescent="0.35">
      <c r="A521" s="4">
        <v>85520</v>
      </c>
      <c r="B521" s="5" t="s">
        <v>659</v>
      </c>
    </row>
    <row r="522" spans="1:2" x14ac:dyDescent="0.35">
      <c r="A522" s="4">
        <v>85600</v>
      </c>
      <c r="B522" s="5" t="s">
        <v>660</v>
      </c>
    </row>
    <row r="523" spans="1:2" x14ac:dyDescent="0.35">
      <c r="A523" s="4">
        <v>90100</v>
      </c>
      <c r="B523" s="5" t="s">
        <v>661</v>
      </c>
    </row>
    <row r="524" spans="1:2" x14ac:dyDescent="0.35">
      <c r="A524" s="4">
        <v>91000</v>
      </c>
      <c r="B524" s="5" t="s">
        <v>662</v>
      </c>
    </row>
    <row r="525" spans="1:2" x14ac:dyDescent="0.35">
      <c r="A525" s="4">
        <v>110100</v>
      </c>
      <c r="B525" s="5" t="s">
        <v>663</v>
      </c>
    </row>
    <row r="526" spans="1:2" x14ac:dyDescent="0.35">
      <c r="A526" s="4">
        <v>110200</v>
      </c>
      <c r="B526" s="5" t="s">
        <v>664</v>
      </c>
    </row>
    <row r="527" spans="1:2" x14ac:dyDescent="0.35">
      <c r="A527" s="4">
        <v>110210</v>
      </c>
      <c r="B527" s="5" t="s">
        <v>665</v>
      </c>
    </row>
    <row r="528" spans="1:2" x14ac:dyDescent="0.35">
      <c r="A528" s="4">
        <v>110220</v>
      </c>
      <c r="B528" s="5" t="s">
        <v>666</v>
      </c>
    </row>
    <row r="529" spans="1:2" x14ac:dyDescent="0.35">
      <c r="A529" s="4">
        <v>110230</v>
      </c>
      <c r="B529" s="5" t="s">
        <v>667</v>
      </c>
    </row>
    <row r="530" spans="1:2" x14ac:dyDescent="0.35">
      <c r="A530" s="4">
        <v>110240</v>
      </c>
      <c r="B530" s="5" t="s">
        <v>668</v>
      </c>
    </row>
    <row r="531" spans="1:2" x14ac:dyDescent="0.35">
      <c r="A531" s="4">
        <v>110250</v>
      </c>
      <c r="B531" s="5" t="s">
        <v>669</v>
      </c>
    </row>
    <row r="532" spans="1:2" x14ac:dyDescent="0.35">
      <c r="A532" s="4">
        <v>110260</v>
      </c>
      <c r="B532" s="5" t="s">
        <v>670</v>
      </c>
    </row>
    <row r="533" spans="1:2" x14ac:dyDescent="0.35">
      <c r="A533" s="4">
        <v>110261</v>
      </c>
      <c r="B533" s="5" t="s">
        <v>671</v>
      </c>
    </row>
    <row r="534" spans="1:2" x14ac:dyDescent="0.35">
      <c r="A534" s="4">
        <v>110262</v>
      </c>
      <c r="B534" s="5" t="s">
        <v>672</v>
      </c>
    </row>
    <row r="535" spans="1:2" x14ac:dyDescent="0.35">
      <c r="A535" s="4">
        <v>110263</v>
      </c>
      <c r="B535" s="5" t="s">
        <v>673</v>
      </c>
    </row>
    <row r="536" spans="1:2" x14ac:dyDescent="0.35">
      <c r="A536" s="4">
        <v>110264</v>
      </c>
      <c r="B536" s="5" t="s">
        <v>674</v>
      </c>
    </row>
    <row r="537" spans="1:2" x14ac:dyDescent="0.35">
      <c r="A537" s="4">
        <v>110270</v>
      </c>
      <c r="B537" s="5" t="s">
        <v>675</v>
      </c>
    </row>
    <row r="538" spans="1:2" x14ac:dyDescent="0.35">
      <c r="A538" s="4">
        <v>110390</v>
      </c>
      <c r="B538" s="5" t="s">
        <v>676</v>
      </c>
    </row>
    <row r="539" spans="1:2" x14ac:dyDescent="0.35">
      <c r="A539" s="4">
        <v>110400</v>
      </c>
      <c r="B539" s="5" t="s">
        <v>677</v>
      </c>
    </row>
    <row r="540" spans="1:2" x14ac:dyDescent="0.35">
      <c r="A540" s="4">
        <v>110410</v>
      </c>
      <c r="B540" s="5" t="s">
        <v>678</v>
      </c>
    </row>
    <row r="541" spans="1:2" x14ac:dyDescent="0.35">
      <c r="A541" s="4">
        <v>110420</v>
      </c>
      <c r="B541" s="5" t="s">
        <v>679</v>
      </c>
    </row>
    <row r="542" spans="1:2" x14ac:dyDescent="0.35">
      <c r="A542" s="4">
        <v>110430</v>
      </c>
      <c r="B542" s="5" t="s">
        <v>680</v>
      </c>
    </row>
    <row r="543" spans="1:2" x14ac:dyDescent="0.35">
      <c r="A543" s="4">
        <v>110440</v>
      </c>
      <c r="B543" s="5" t="s">
        <v>681</v>
      </c>
    </row>
    <row r="544" spans="1:2" x14ac:dyDescent="0.35">
      <c r="A544" s="4">
        <v>110500</v>
      </c>
      <c r="B544" s="5" t="s">
        <v>682</v>
      </c>
    </row>
    <row r="545" spans="1:2" x14ac:dyDescent="0.35">
      <c r="A545" s="4">
        <v>110510</v>
      </c>
      <c r="B545" s="5" t="s">
        <v>683</v>
      </c>
    </row>
    <row r="546" spans="1:2" x14ac:dyDescent="0.35">
      <c r="A546" s="4">
        <v>110511</v>
      </c>
      <c r="B546" s="5" t="s">
        <v>684</v>
      </c>
    </row>
    <row r="547" spans="1:2" x14ac:dyDescent="0.35">
      <c r="A547" s="4">
        <v>110512</v>
      </c>
      <c r="B547" s="5" t="s">
        <v>685</v>
      </c>
    </row>
    <row r="548" spans="1:2" x14ac:dyDescent="0.35">
      <c r="A548" s="4">
        <v>110513</v>
      </c>
      <c r="B548" s="5" t="s">
        <v>686</v>
      </c>
    </row>
    <row r="549" spans="1:2" x14ac:dyDescent="0.35">
      <c r="A549" s="4">
        <v>110514</v>
      </c>
      <c r="B549" s="5" t="s">
        <v>687</v>
      </c>
    </row>
    <row r="550" spans="1:2" x14ac:dyDescent="0.35">
      <c r="A550" s="4">
        <v>110515</v>
      </c>
      <c r="B550" s="5" t="s">
        <v>688</v>
      </c>
    </row>
    <row r="551" spans="1:2" x14ac:dyDescent="0.35">
      <c r="A551" s="4">
        <v>110516</v>
      </c>
      <c r="B551" s="5" t="s">
        <v>689</v>
      </c>
    </row>
    <row r="552" spans="1:2" x14ac:dyDescent="0.35">
      <c r="A552" s="4">
        <v>110517</v>
      </c>
      <c r="B552" s="5" t="s">
        <v>690</v>
      </c>
    </row>
    <row r="553" spans="1:2" x14ac:dyDescent="0.35">
      <c r="A553" s="4">
        <v>110518</v>
      </c>
      <c r="B553" s="5" t="s">
        <v>691</v>
      </c>
    </row>
    <row r="554" spans="1:2" x14ac:dyDescent="0.35">
      <c r="A554" s="4">
        <v>110519</v>
      </c>
      <c r="B554" s="5" t="s">
        <v>692</v>
      </c>
    </row>
    <row r="555" spans="1:2" x14ac:dyDescent="0.35">
      <c r="A555" s="4">
        <v>110520</v>
      </c>
      <c r="B555" s="5" t="s">
        <v>693</v>
      </c>
    </row>
    <row r="556" spans="1:2" x14ac:dyDescent="0.35">
      <c r="A556" s="4">
        <v>110521</v>
      </c>
      <c r="B556" s="5" t="s">
        <v>694</v>
      </c>
    </row>
    <row r="557" spans="1:2" x14ac:dyDescent="0.35">
      <c r="A557" s="4">
        <v>110522</v>
      </c>
      <c r="B557" s="5" t="s">
        <v>695</v>
      </c>
    </row>
    <row r="558" spans="1:2" x14ac:dyDescent="0.35">
      <c r="A558" s="4">
        <v>110523</v>
      </c>
      <c r="B558" s="5" t="s">
        <v>696</v>
      </c>
    </row>
    <row r="559" spans="1:2" x14ac:dyDescent="0.35">
      <c r="A559" s="4">
        <v>110530</v>
      </c>
      <c r="B559" s="5" t="s">
        <v>697</v>
      </c>
    </row>
    <row r="560" spans="1:2" x14ac:dyDescent="0.35">
      <c r="A560" s="4">
        <v>110531</v>
      </c>
      <c r="B560" s="5" t="s">
        <v>698</v>
      </c>
    </row>
    <row r="561" spans="1:2" x14ac:dyDescent="0.35">
      <c r="A561" s="4">
        <v>110540</v>
      </c>
      <c r="B561" s="5" t="s">
        <v>699</v>
      </c>
    </row>
    <row r="562" spans="1:2" x14ac:dyDescent="0.35">
      <c r="A562" s="4">
        <v>110541</v>
      </c>
      <c r="B562" s="5" t="s">
        <v>700</v>
      </c>
    </row>
    <row r="563" spans="1:2" x14ac:dyDescent="0.35">
      <c r="A563" s="4">
        <v>110542</v>
      </c>
      <c r="B563" s="5" t="s">
        <v>701</v>
      </c>
    </row>
    <row r="564" spans="1:2" x14ac:dyDescent="0.35">
      <c r="A564" s="4">
        <v>110543</v>
      </c>
      <c r="B564" s="5" t="s">
        <v>702</v>
      </c>
    </row>
    <row r="565" spans="1:2" x14ac:dyDescent="0.35">
      <c r="A565" s="4">
        <v>110544</v>
      </c>
      <c r="B565" s="5" t="s">
        <v>703</v>
      </c>
    </row>
    <row r="566" spans="1:2" x14ac:dyDescent="0.35">
      <c r="A566" s="4">
        <v>110545</v>
      </c>
      <c r="B566" s="5" t="s">
        <v>704</v>
      </c>
    </row>
    <row r="567" spans="1:2" x14ac:dyDescent="0.35">
      <c r="A567" s="4">
        <v>110550</v>
      </c>
      <c r="B567" s="5" t="s">
        <v>705</v>
      </c>
    </row>
    <row r="568" spans="1:2" x14ac:dyDescent="0.35">
      <c r="A568" s="4">
        <v>110551</v>
      </c>
      <c r="B568" s="5" t="s">
        <v>706</v>
      </c>
    </row>
    <row r="569" spans="1:2" x14ac:dyDescent="0.35">
      <c r="A569" s="4">
        <v>110552</v>
      </c>
      <c r="B569" s="5" t="s">
        <v>707</v>
      </c>
    </row>
    <row r="570" spans="1:2" x14ac:dyDescent="0.35">
      <c r="A570" s="4">
        <v>110560</v>
      </c>
      <c r="B570" s="5" t="s">
        <v>708</v>
      </c>
    </row>
    <row r="571" spans="1:2" x14ac:dyDescent="0.35">
      <c r="A571" s="4">
        <v>110561</v>
      </c>
      <c r="B571" s="5" t="s">
        <v>709</v>
      </c>
    </row>
    <row r="572" spans="1:2" x14ac:dyDescent="0.35">
      <c r="A572" s="4">
        <v>110570</v>
      </c>
      <c r="B572" s="5" t="s">
        <v>710</v>
      </c>
    </row>
    <row r="573" spans="1:2" x14ac:dyDescent="0.35">
      <c r="A573" s="4">
        <v>110580</v>
      </c>
      <c r="B573" s="5" t="s">
        <v>711</v>
      </c>
    </row>
    <row r="574" spans="1:2" x14ac:dyDescent="0.35">
      <c r="A574" s="4">
        <v>110581</v>
      </c>
      <c r="B574" s="5" t="s">
        <v>712</v>
      </c>
    </row>
    <row r="575" spans="1:2" x14ac:dyDescent="0.35">
      <c r="A575" s="4">
        <v>110590</v>
      </c>
      <c r="B575" s="5" t="s">
        <v>713</v>
      </c>
    </row>
    <row r="576" spans="1:2" x14ac:dyDescent="0.35">
      <c r="A576" s="4">
        <v>110591</v>
      </c>
      <c r="B576" s="5" t="s">
        <v>714</v>
      </c>
    </row>
    <row r="577" spans="1:2" x14ac:dyDescent="0.35">
      <c r="A577" s="4">
        <v>110592</v>
      </c>
      <c r="B577" s="5" t="s">
        <v>715</v>
      </c>
    </row>
    <row r="578" spans="1:2" x14ac:dyDescent="0.35">
      <c r="A578" s="4">
        <v>110593</v>
      </c>
      <c r="B578" s="5" t="s">
        <v>716</v>
      </c>
    </row>
    <row r="579" spans="1:2" x14ac:dyDescent="0.35">
      <c r="A579" s="4">
        <v>110600</v>
      </c>
      <c r="B579" s="5" t="s">
        <v>717</v>
      </c>
    </row>
    <row r="580" spans="1:2" x14ac:dyDescent="0.35">
      <c r="A580" s="4">
        <v>110601</v>
      </c>
      <c r="B580" s="5" t="s">
        <v>718</v>
      </c>
    </row>
    <row r="581" spans="1:2" x14ac:dyDescent="0.35">
      <c r="A581" s="4">
        <v>110610</v>
      </c>
      <c r="B581" s="5" t="s">
        <v>719</v>
      </c>
    </row>
    <row r="582" spans="1:2" x14ac:dyDescent="0.35">
      <c r="A582" s="4">
        <v>110611</v>
      </c>
      <c r="B582" s="5" t="s">
        <v>720</v>
      </c>
    </row>
    <row r="583" spans="1:2" x14ac:dyDescent="0.35">
      <c r="A583" s="4">
        <v>110612</v>
      </c>
      <c r="B583" s="5" t="s">
        <v>721</v>
      </c>
    </row>
    <row r="584" spans="1:2" x14ac:dyDescent="0.35">
      <c r="A584" s="4">
        <v>110613</v>
      </c>
      <c r="B584" s="5" t="s">
        <v>722</v>
      </c>
    </row>
    <row r="585" spans="1:2" x14ac:dyDescent="0.35">
      <c r="A585" s="4">
        <v>110614</v>
      </c>
      <c r="B585" s="5" t="s">
        <v>723</v>
      </c>
    </row>
    <row r="586" spans="1:2" x14ac:dyDescent="0.35">
      <c r="A586" s="4">
        <v>110615</v>
      </c>
      <c r="B586" s="5" t="s">
        <v>724</v>
      </c>
    </row>
    <row r="587" spans="1:2" x14ac:dyDescent="0.35">
      <c r="A587" s="4">
        <v>110620</v>
      </c>
      <c r="B587" s="5" t="s">
        <v>725</v>
      </c>
    </row>
    <row r="588" spans="1:2" x14ac:dyDescent="0.35">
      <c r="A588" s="4">
        <v>110621</v>
      </c>
      <c r="B588" s="5" t="s">
        <v>726</v>
      </c>
    </row>
    <row r="589" spans="1:2" x14ac:dyDescent="0.35">
      <c r="A589" s="4">
        <v>110622</v>
      </c>
      <c r="B589" s="5" t="s">
        <v>727</v>
      </c>
    </row>
    <row r="590" spans="1:2" x14ac:dyDescent="0.35">
      <c r="A590" s="4">
        <v>110623</v>
      </c>
      <c r="B590" s="5" t="s">
        <v>728</v>
      </c>
    </row>
    <row r="591" spans="1:2" x14ac:dyDescent="0.35">
      <c r="A591" s="4">
        <v>110624</v>
      </c>
      <c r="B591" s="5" t="s">
        <v>729</v>
      </c>
    </row>
    <row r="592" spans="1:2" x14ac:dyDescent="0.35">
      <c r="A592" s="4">
        <v>110625</v>
      </c>
      <c r="B592" s="5" t="s">
        <v>730</v>
      </c>
    </row>
    <row r="593" spans="1:2" x14ac:dyDescent="0.35">
      <c r="A593" s="4">
        <v>110629</v>
      </c>
      <c r="B593" s="5" t="s">
        <v>731</v>
      </c>
    </row>
    <row r="594" spans="1:2" x14ac:dyDescent="0.35">
      <c r="A594" s="4">
        <v>110630</v>
      </c>
      <c r="B594" s="5" t="s">
        <v>732</v>
      </c>
    </row>
    <row r="595" spans="1:2" x14ac:dyDescent="0.35">
      <c r="A595" s="4">
        <v>110631</v>
      </c>
      <c r="B595" s="5" t="s">
        <v>733</v>
      </c>
    </row>
    <row r="596" spans="1:2" x14ac:dyDescent="0.35">
      <c r="A596" s="4">
        <v>110632</v>
      </c>
      <c r="B596" s="5" t="s">
        <v>734</v>
      </c>
    </row>
    <row r="597" spans="1:2" x14ac:dyDescent="0.35">
      <c r="A597" s="4">
        <v>110633</v>
      </c>
      <c r="B597" s="5" t="s">
        <v>735</v>
      </c>
    </row>
    <row r="598" spans="1:2" x14ac:dyDescent="0.35">
      <c r="A598" s="4">
        <v>110634</v>
      </c>
      <c r="B598" s="5" t="s">
        <v>736</v>
      </c>
    </row>
    <row r="599" spans="1:2" x14ac:dyDescent="0.35">
      <c r="A599" s="4">
        <v>110635</v>
      </c>
      <c r="B599" s="5" t="s">
        <v>737</v>
      </c>
    </row>
    <row r="600" spans="1:2" x14ac:dyDescent="0.35">
      <c r="A600" s="4">
        <v>110636</v>
      </c>
      <c r="B600" s="5" t="s">
        <v>738</v>
      </c>
    </row>
    <row r="601" spans="1:2" x14ac:dyDescent="0.35">
      <c r="A601" s="4">
        <v>110640</v>
      </c>
      <c r="B601" s="5" t="s">
        <v>739</v>
      </c>
    </row>
    <row r="602" spans="1:2" x14ac:dyDescent="0.35">
      <c r="A602" s="4">
        <v>110641</v>
      </c>
      <c r="B602" s="5" t="s">
        <v>740</v>
      </c>
    </row>
    <row r="603" spans="1:2" x14ac:dyDescent="0.35">
      <c r="A603" s="4">
        <v>110642</v>
      </c>
      <c r="B603" s="5" t="s">
        <v>741</v>
      </c>
    </row>
    <row r="604" spans="1:2" x14ac:dyDescent="0.35">
      <c r="A604" s="4">
        <v>110643</v>
      </c>
      <c r="B604" s="5" t="s">
        <v>742</v>
      </c>
    </row>
    <row r="605" spans="1:2" x14ac:dyDescent="0.35">
      <c r="A605" s="4">
        <v>110644</v>
      </c>
      <c r="B605" s="5" t="s">
        <v>743</v>
      </c>
    </row>
    <row r="606" spans="1:2" x14ac:dyDescent="0.35">
      <c r="A606" s="4">
        <v>110650</v>
      </c>
      <c r="B606" s="5" t="s">
        <v>744</v>
      </c>
    </row>
    <row r="607" spans="1:2" x14ac:dyDescent="0.35">
      <c r="A607" s="4">
        <v>110651</v>
      </c>
      <c r="B607" s="5" t="s">
        <v>745</v>
      </c>
    </row>
    <row r="608" spans="1:2" x14ac:dyDescent="0.35">
      <c r="A608" s="4">
        <v>110652</v>
      </c>
      <c r="B608" s="5" t="s">
        <v>746</v>
      </c>
    </row>
    <row r="609" spans="1:2" x14ac:dyDescent="0.35">
      <c r="A609" s="4">
        <v>110653</v>
      </c>
      <c r="B609" s="5" t="s">
        <v>747</v>
      </c>
    </row>
    <row r="610" spans="1:2" x14ac:dyDescent="0.35">
      <c r="A610" s="4">
        <v>110660</v>
      </c>
      <c r="B610" s="5" t="s">
        <v>748</v>
      </c>
    </row>
    <row r="611" spans="1:2" x14ac:dyDescent="0.35">
      <c r="A611" s="4">
        <v>110661</v>
      </c>
      <c r="B611" s="5" t="s">
        <v>749</v>
      </c>
    </row>
    <row r="612" spans="1:2" x14ac:dyDescent="0.35">
      <c r="A612" s="4">
        <v>110662</v>
      </c>
      <c r="B612" s="5" t="s">
        <v>750</v>
      </c>
    </row>
    <row r="613" spans="1:2" x14ac:dyDescent="0.35">
      <c r="A613" s="4">
        <v>110663</v>
      </c>
      <c r="B613" s="5" t="s">
        <v>751</v>
      </c>
    </row>
    <row r="614" spans="1:2" x14ac:dyDescent="0.35">
      <c r="A614" s="4">
        <v>110664</v>
      </c>
      <c r="B614" s="5" t="s">
        <v>646</v>
      </c>
    </row>
    <row r="615" spans="1:2" x14ac:dyDescent="0.35">
      <c r="A615" s="4">
        <v>110665</v>
      </c>
      <c r="B615" s="5" t="s">
        <v>752</v>
      </c>
    </row>
    <row r="616" spans="1:2" x14ac:dyDescent="0.35">
      <c r="A616" s="4">
        <v>110666</v>
      </c>
      <c r="B616" s="5" t="s">
        <v>753</v>
      </c>
    </row>
    <row r="617" spans="1:2" x14ac:dyDescent="0.35">
      <c r="A617" s="4">
        <v>110670</v>
      </c>
      <c r="B617" s="5" t="s">
        <v>754</v>
      </c>
    </row>
    <row r="618" spans="1:2" x14ac:dyDescent="0.35">
      <c r="A618" s="4">
        <v>110671</v>
      </c>
      <c r="B618" s="5" t="s">
        <v>755</v>
      </c>
    </row>
    <row r="619" spans="1:2" x14ac:dyDescent="0.35">
      <c r="A619" s="4">
        <v>110672</v>
      </c>
      <c r="B619" s="5" t="s">
        <v>756</v>
      </c>
    </row>
    <row r="620" spans="1:2" x14ac:dyDescent="0.35">
      <c r="A620" s="4">
        <v>110680</v>
      </c>
      <c r="B620" s="5" t="s">
        <v>757</v>
      </c>
    </row>
    <row r="621" spans="1:2" x14ac:dyDescent="0.35">
      <c r="A621" s="4">
        <v>110690</v>
      </c>
      <c r="B621" s="5" t="s">
        <v>758</v>
      </c>
    </row>
    <row r="622" spans="1:2" x14ac:dyDescent="0.35">
      <c r="A622" s="4">
        <v>110691</v>
      </c>
      <c r="B622" s="5" t="s">
        <v>759</v>
      </c>
    </row>
    <row r="623" spans="1:2" x14ac:dyDescent="0.35">
      <c r="A623" s="4">
        <v>110692</v>
      </c>
      <c r="B623" s="5" t="s">
        <v>760</v>
      </c>
    </row>
    <row r="624" spans="1:2" x14ac:dyDescent="0.35">
      <c r="A624" s="4">
        <v>110700</v>
      </c>
      <c r="B624" s="5" t="s">
        <v>761</v>
      </c>
    </row>
    <row r="625" spans="1:2" x14ac:dyDescent="0.35">
      <c r="A625" s="4">
        <v>110710</v>
      </c>
      <c r="B625" s="5" t="s">
        <v>762</v>
      </c>
    </row>
    <row r="626" spans="1:2" x14ac:dyDescent="0.35">
      <c r="A626" s="4">
        <v>110720</v>
      </c>
      <c r="B626" s="5" t="s">
        <v>763</v>
      </c>
    </row>
    <row r="627" spans="1:2" x14ac:dyDescent="0.35">
      <c r="A627" s="4">
        <v>110721</v>
      </c>
      <c r="B627" s="5" t="s">
        <v>764</v>
      </c>
    </row>
    <row r="628" spans="1:2" x14ac:dyDescent="0.35">
      <c r="A628" s="4">
        <v>110722</v>
      </c>
      <c r="B628" s="5" t="s">
        <v>765</v>
      </c>
    </row>
    <row r="629" spans="1:2" x14ac:dyDescent="0.35">
      <c r="A629" s="4">
        <v>110723</v>
      </c>
      <c r="B629" s="5" t="s">
        <v>766</v>
      </c>
    </row>
    <row r="630" spans="1:2" x14ac:dyDescent="0.35">
      <c r="A630" s="4">
        <v>110730</v>
      </c>
      <c r="B630" s="5" t="s">
        <v>767</v>
      </c>
    </row>
    <row r="631" spans="1:2" x14ac:dyDescent="0.35">
      <c r="A631" s="4">
        <v>110731</v>
      </c>
      <c r="B631" s="5" t="s">
        <v>768</v>
      </c>
    </row>
    <row r="632" spans="1:2" x14ac:dyDescent="0.35">
      <c r="A632" s="4">
        <v>110732</v>
      </c>
      <c r="B632" s="5" t="s">
        <v>769</v>
      </c>
    </row>
    <row r="633" spans="1:2" x14ac:dyDescent="0.35">
      <c r="A633" s="4">
        <v>110733</v>
      </c>
      <c r="B633" s="5" t="s">
        <v>770</v>
      </c>
    </row>
    <row r="634" spans="1:2" x14ac:dyDescent="0.35">
      <c r="A634" s="4">
        <v>110734</v>
      </c>
      <c r="B634" s="5" t="s">
        <v>771</v>
      </c>
    </row>
    <row r="635" spans="1:2" x14ac:dyDescent="0.35">
      <c r="A635" s="4">
        <v>110740</v>
      </c>
      <c r="B635" s="5" t="s">
        <v>772</v>
      </c>
    </row>
    <row r="636" spans="1:2" x14ac:dyDescent="0.35">
      <c r="A636" s="4">
        <v>110741</v>
      </c>
      <c r="B636" s="5" t="s">
        <v>773</v>
      </c>
    </row>
    <row r="637" spans="1:2" x14ac:dyDescent="0.35">
      <c r="A637" s="4">
        <v>110742</v>
      </c>
      <c r="B637" s="5" t="s">
        <v>774</v>
      </c>
    </row>
    <row r="638" spans="1:2" x14ac:dyDescent="0.35">
      <c r="A638" s="4">
        <v>110743</v>
      </c>
      <c r="B638" s="5" t="s">
        <v>775</v>
      </c>
    </row>
    <row r="639" spans="1:2" x14ac:dyDescent="0.35">
      <c r="A639" s="4">
        <v>110744</v>
      </c>
      <c r="B639" s="5" t="s">
        <v>776</v>
      </c>
    </row>
    <row r="640" spans="1:2" x14ac:dyDescent="0.35">
      <c r="A640" s="4">
        <v>110745</v>
      </c>
      <c r="B640" s="5" t="s">
        <v>777</v>
      </c>
    </row>
    <row r="641" spans="1:2" x14ac:dyDescent="0.35">
      <c r="A641" s="4">
        <v>110749</v>
      </c>
      <c r="B641" s="5" t="s">
        <v>778</v>
      </c>
    </row>
    <row r="642" spans="1:2" x14ac:dyDescent="0.35">
      <c r="A642" s="4">
        <v>110750</v>
      </c>
      <c r="B642" s="5" t="s">
        <v>779</v>
      </c>
    </row>
    <row r="643" spans="1:2" x14ac:dyDescent="0.35">
      <c r="A643" s="4">
        <v>110760</v>
      </c>
      <c r="B643" s="5" t="s">
        <v>780</v>
      </c>
    </row>
    <row r="644" spans="1:2" x14ac:dyDescent="0.35">
      <c r="A644" s="4">
        <v>110770</v>
      </c>
      <c r="B644" s="5" t="s">
        <v>781</v>
      </c>
    </row>
    <row r="645" spans="1:2" x14ac:dyDescent="0.35">
      <c r="A645" s="4">
        <v>110780</v>
      </c>
      <c r="B645" s="5" t="s">
        <v>782</v>
      </c>
    </row>
    <row r="646" spans="1:2" x14ac:dyDescent="0.35">
      <c r="A646" s="4">
        <v>110790</v>
      </c>
      <c r="B646" s="5" t="s">
        <v>783</v>
      </c>
    </row>
    <row r="647" spans="1:2" x14ac:dyDescent="0.35">
      <c r="A647" s="4">
        <v>110800</v>
      </c>
      <c r="B647" s="5" t="s">
        <v>784</v>
      </c>
    </row>
    <row r="648" spans="1:2" x14ac:dyDescent="0.35">
      <c r="A648" s="4">
        <v>110810</v>
      </c>
      <c r="B648" s="5" t="s">
        <v>785</v>
      </c>
    </row>
    <row r="649" spans="1:2" x14ac:dyDescent="0.35">
      <c r="A649" s="4">
        <v>110820</v>
      </c>
      <c r="B649" s="5" t="s">
        <v>786</v>
      </c>
    </row>
    <row r="650" spans="1:2" x14ac:dyDescent="0.35">
      <c r="A650" s="4">
        <v>110821</v>
      </c>
      <c r="B650" s="5" t="s">
        <v>787</v>
      </c>
    </row>
    <row r="651" spans="1:2" x14ac:dyDescent="0.35">
      <c r="A651" s="4">
        <v>110870</v>
      </c>
      <c r="B651" s="5" t="s">
        <v>788</v>
      </c>
    </row>
    <row r="652" spans="1:2" x14ac:dyDescent="0.35">
      <c r="A652" s="4">
        <v>110880</v>
      </c>
      <c r="B652" s="5" t="s">
        <v>789</v>
      </c>
    </row>
    <row r="653" spans="1:2" x14ac:dyDescent="0.35">
      <c r="A653" s="4">
        <v>110890</v>
      </c>
      <c r="B653" s="5" t="s">
        <v>790</v>
      </c>
    </row>
    <row r="654" spans="1:2" x14ac:dyDescent="0.35">
      <c r="A654" s="4">
        <v>110900</v>
      </c>
      <c r="B654" s="5" t="s">
        <v>791</v>
      </c>
    </row>
    <row r="655" spans="1:2" x14ac:dyDescent="0.35">
      <c r="A655" s="4">
        <v>121100</v>
      </c>
      <c r="B655" s="5" t="s">
        <v>792</v>
      </c>
    </row>
    <row r="656" spans="1:2" x14ac:dyDescent="0.35">
      <c r="A656" s="4">
        <v>121260</v>
      </c>
      <c r="B656" s="5" t="s">
        <v>793</v>
      </c>
    </row>
    <row r="657" spans="1:2" x14ac:dyDescent="0.35">
      <c r="A657" s="4">
        <v>121261</v>
      </c>
      <c r="B657" s="5" t="s">
        <v>794</v>
      </c>
    </row>
    <row r="658" spans="1:2" x14ac:dyDescent="0.35">
      <c r="A658" s="4">
        <v>121262</v>
      </c>
      <c r="B658" s="5" t="s">
        <v>795</v>
      </c>
    </row>
    <row r="659" spans="1:2" x14ac:dyDescent="0.35">
      <c r="A659" s="4">
        <v>121263</v>
      </c>
      <c r="B659" s="5" t="s">
        <v>796</v>
      </c>
    </row>
    <row r="660" spans="1:2" x14ac:dyDescent="0.35">
      <c r="A660" s="4">
        <v>122100</v>
      </c>
      <c r="B660" s="5" t="s">
        <v>797</v>
      </c>
    </row>
    <row r="661" spans="1:2" x14ac:dyDescent="0.35">
      <c r="A661" s="4">
        <v>122110</v>
      </c>
      <c r="B661" s="5" t="s">
        <v>798</v>
      </c>
    </row>
    <row r="662" spans="1:2" x14ac:dyDescent="0.35">
      <c r="A662" s="4">
        <v>122200</v>
      </c>
      <c r="B662" s="5" t="s">
        <v>799</v>
      </c>
    </row>
    <row r="663" spans="1:2" x14ac:dyDescent="0.35">
      <c r="A663" s="4">
        <v>122300</v>
      </c>
      <c r="B663" s="5" t="s">
        <v>800</v>
      </c>
    </row>
    <row r="664" spans="1:2" x14ac:dyDescent="0.35">
      <c r="A664" s="4">
        <v>122400</v>
      </c>
      <c r="B664" s="5" t="s">
        <v>801</v>
      </c>
    </row>
    <row r="665" spans="1:2" x14ac:dyDescent="0.35">
      <c r="A665" s="4">
        <v>123100</v>
      </c>
      <c r="B665" s="5" t="s">
        <v>802</v>
      </c>
    </row>
    <row r="666" spans="1:2" x14ac:dyDescent="0.35">
      <c r="A666" s="4">
        <v>129200</v>
      </c>
      <c r="B666" s="5" t="s">
        <v>803</v>
      </c>
    </row>
    <row r="667" spans="1:2" x14ac:dyDescent="0.35">
      <c r="A667" s="4">
        <v>129300</v>
      </c>
      <c r="B667" s="5" t="s">
        <v>804</v>
      </c>
    </row>
    <row r="668" spans="1:2" x14ac:dyDescent="0.35">
      <c r="A668" s="4">
        <v>129400</v>
      </c>
      <c r="B668" s="5" t="s">
        <v>805</v>
      </c>
    </row>
    <row r="669" spans="1:2" x14ac:dyDescent="0.35">
      <c r="A669" s="4">
        <v>129500</v>
      </c>
      <c r="B669" s="5" t="s">
        <v>806</v>
      </c>
    </row>
    <row r="670" spans="1:2" x14ac:dyDescent="0.35">
      <c r="A670" s="4">
        <v>129600</v>
      </c>
      <c r="B670" s="5" t="s">
        <v>807</v>
      </c>
    </row>
    <row r="671" spans="1:2" x14ac:dyDescent="0.35">
      <c r="A671" s="4">
        <v>129900</v>
      </c>
      <c r="B671" s="5" t="s">
        <v>808</v>
      </c>
    </row>
    <row r="672" spans="1:2" x14ac:dyDescent="0.35">
      <c r="A672" s="4">
        <v>131100</v>
      </c>
      <c r="B672" s="5" t="s">
        <v>809</v>
      </c>
    </row>
    <row r="673" spans="1:2" x14ac:dyDescent="0.35">
      <c r="A673" s="4">
        <v>131150</v>
      </c>
      <c r="B673" s="5" t="s">
        <v>810</v>
      </c>
    </row>
    <row r="674" spans="1:2" x14ac:dyDescent="0.35">
      <c r="A674" s="4">
        <v>131200</v>
      </c>
      <c r="B674" s="5" t="s">
        <v>811</v>
      </c>
    </row>
    <row r="675" spans="1:2" x14ac:dyDescent="0.35">
      <c r="A675" s="4">
        <v>131250</v>
      </c>
      <c r="B675" s="5" t="s">
        <v>812</v>
      </c>
    </row>
    <row r="676" spans="1:2" x14ac:dyDescent="0.35">
      <c r="A676" s="4">
        <v>131300</v>
      </c>
      <c r="B676" s="5" t="s">
        <v>813</v>
      </c>
    </row>
    <row r="677" spans="1:2" x14ac:dyDescent="0.35">
      <c r="A677" s="4">
        <v>131350</v>
      </c>
      <c r="B677" s="5" t="s">
        <v>814</v>
      </c>
    </row>
    <row r="678" spans="1:2" x14ac:dyDescent="0.35">
      <c r="A678" s="4">
        <v>131400</v>
      </c>
      <c r="B678" s="5" t="s">
        <v>815</v>
      </c>
    </row>
    <row r="679" spans="1:2" x14ac:dyDescent="0.35">
      <c r="A679" s="4">
        <v>131450</v>
      </c>
      <c r="B679" s="5" t="s">
        <v>816</v>
      </c>
    </row>
    <row r="680" spans="1:2" x14ac:dyDescent="0.35">
      <c r="A680" s="4">
        <v>131500</v>
      </c>
      <c r="B680" s="5" t="s">
        <v>817</v>
      </c>
    </row>
    <row r="681" spans="1:2" x14ac:dyDescent="0.35">
      <c r="A681" s="4">
        <v>131550</v>
      </c>
      <c r="B681" s="5" t="s">
        <v>818</v>
      </c>
    </row>
    <row r="682" spans="1:2" x14ac:dyDescent="0.35">
      <c r="A682" s="4">
        <v>131600</v>
      </c>
      <c r="B682" s="5" t="s">
        <v>819</v>
      </c>
    </row>
    <row r="683" spans="1:2" x14ac:dyDescent="0.35">
      <c r="A683" s="4">
        <v>131650</v>
      </c>
      <c r="B683" s="5" t="s">
        <v>820</v>
      </c>
    </row>
    <row r="684" spans="1:2" x14ac:dyDescent="0.35">
      <c r="A684" s="4">
        <v>131700</v>
      </c>
      <c r="B684" s="5" t="s">
        <v>821</v>
      </c>
    </row>
    <row r="685" spans="1:2" x14ac:dyDescent="0.35">
      <c r="A685" s="4">
        <v>131710</v>
      </c>
      <c r="B685" s="5" t="s">
        <v>822</v>
      </c>
    </row>
    <row r="686" spans="1:2" x14ac:dyDescent="0.35">
      <c r="A686" s="4">
        <v>131720</v>
      </c>
      <c r="B686" s="5" t="s">
        <v>823</v>
      </c>
    </row>
    <row r="687" spans="1:2" x14ac:dyDescent="0.35">
      <c r="A687" s="4">
        <v>131730</v>
      </c>
      <c r="B687" s="5" t="s">
        <v>824</v>
      </c>
    </row>
    <row r="688" spans="1:2" x14ac:dyDescent="0.35">
      <c r="A688" s="4">
        <v>131740</v>
      </c>
      <c r="B688" s="5" t="s">
        <v>825</v>
      </c>
    </row>
    <row r="689" spans="1:2" x14ac:dyDescent="0.35">
      <c r="A689" s="4">
        <v>131900</v>
      </c>
      <c r="B689" s="5" t="s">
        <v>826</v>
      </c>
    </row>
    <row r="690" spans="1:2" x14ac:dyDescent="0.35">
      <c r="A690" s="4">
        <v>131910</v>
      </c>
      <c r="B690" s="5" t="s">
        <v>827</v>
      </c>
    </row>
    <row r="691" spans="1:2" x14ac:dyDescent="0.35">
      <c r="A691" s="4">
        <v>131920</v>
      </c>
      <c r="B691" s="5" t="s">
        <v>828</v>
      </c>
    </row>
    <row r="692" spans="1:2" x14ac:dyDescent="0.35">
      <c r="A692" s="4">
        <v>131930</v>
      </c>
      <c r="B692" s="5" t="s">
        <v>829</v>
      </c>
    </row>
    <row r="693" spans="1:2" x14ac:dyDescent="0.35">
      <c r="A693" s="4">
        <v>131940</v>
      </c>
      <c r="B693" s="5" t="s">
        <v>830</v>
      </c>
    </row>
    <row r="694" spans="1:2" x14ac:dyDescent="0.35">
      <c r="A694" s="4">
        <v>132000</v>
      </c>
      <c r="B694" s="5" t="s">
        <v>831</v>
      </c>
    </row>
    <row r="695" spans="1:2" x14ac:dyDescent="0.35">
      <c r="A695" s="4">
        <v>132100</v>
      </c>
      <c r="B695" s="5" t="s">
        <v>832</v>
      </c>
    </row>
    <row r="696" spans="1:2" x14ac:dyDescent="0.35">
      <c r="A696" s="4">
        <v>132110</v>
      </c>
      <c r="B696" s="5" t="s">
        <v>833</v>
      </c>
    </row>
    <row r="697" spans="1:2" x14ac:dyDescent="0.35">
      <c r="A697" s="4">
        <v>132120</v>
      </c>
      <c r="B697" s="5" t="s">
        <v>834</v>
      </c>
    </row>
    <row r="698" spans="1:2" x14ac:dyDescent="0.35">
      <c r="A698" s="4">
        <v>132140</v>
      </c>
      <c r="B698" s="5" t="s">
        <v>835</v>
      </c>
    </row>
    <row r="699" spans="1:2" x14ac:dyDescent="0.35">
      <c r="A699" s="4">
        <v>132150</v>
      </c>
      <c r="B699" s="5" t="s">
        <v>836</v>
      </c>
    </row>
    <row r="700" spans="1:2" x14ac:dyDescent="0.35">
      <c r="A700" s="4">
        <v>132160</v>
      </c>
      <c r="B700" s="5" t="s">
        <v>837</v>
      </c>
    </row>
    <row r="701" spans="1:2" x14ac:dyDescent="0.35">
      <c r="A701" s="4">
        <v>132200</v>
      </c>
      <c r="B701" s="5" t="s">
        <v>838</v>
      </c>
    </row>
    <row r="702" spans="1:2" x14ac:dyDescent="0.35">
      <c r="A702" s="4">
        <v>132210</v>
      </c>
      <c r="B702" s="5" t="s">
        <v>839</v>
      </c>
    </row>
    <row r="703" spans="1:2" x14ac:dyDescent="0.35">
      <c r="A703" s="4">
        <v>132220</v>
      </c>
      <c r="B703" s="5" t="s">
        <v>840</v>
      </c>
    </row>
    <row r="704" spans="1:2" x14ac:dyDescent="0.35">
      <c r="A704" s="4">
        <v>132250</v>
      </c>
      <c r="B704" s="5" t="s">
        <v>841</v>
      </c>
    </row>
    <row r="705" spans="1:2" x14ac:dyDescent="0.35">
      <c r="A705" s="4">
        <v>132260</v>
      </c>
      <c r="B705" s="5" t="s">
        <v>842</v>
      </c>
    </row>
    <row r="706" spans="1:2" x14ac:dyDescent="0.35">
      <c r="A706" s="4">
        <v>132290</v>
      </c>
      <c r="B706" s="5" t="s">
        <v>843</v>
      </c>
    </row>
    <row r="707" spans="1:2" x14ac:dyDescent="0.35">
      <c r="A707" s="4">
        <v>132300</v>
      </c>
      <c r="B707" s="5" t="s">
        <v>844</v>
      </c>
    </row>
    <row r="708" spans="1:2" x14ac:dyDescent="0.35">
      <c r="A708" s="4">
        <v>132310</v>
      </c>
      <c r="B708" s="5" t="s">
        <v>845</v>
      </c>
    </row>
    <row r="709" spans="1:2" x14ac:dyDescent="0.35">
      <c r="A709" s="4">
        <v>132320</v>
      </c>
      <c r="B709" s="5" t="s">
        <v>846</v>
      </c>
    </row>
    <row r="710" spans="1:2" x14ac:dyDescent="0.35">
      <c r="A710" s="4">
        <v>132330</v>
      </c>
      <c r="B710" s="5" t="s">
        <v>847</v>
      </c>
    </row>
    <row r="711" spans="1:2" x14ac:dyDescent="0.35">
      <c r="A711" s="4">
        <v>132340</v>
      </c>
      <c r="B711" s="5" t="s">
        <v>848</v>
      </c>
    </row>
    <row r="712" spans="1:2" x14ac:dyDescent="0.35">
      <c r="A712" s="4">
        <v>132350</v>
      </c>
      <c r="B712" s="5" t="s">
        <v>849</v>
      </c>
    </row>
    <row r="713" spans="1:2" x14ac:dyDescent="0.35">
      <c r="A713" s="4">
        <v>132400</v>
      </c>
      <c r="B713" s="5" t="s">
        <v>850</v>
      </c>
    </row>
    <row r="714" spans="1:2" x14ac:dyDescent="0.35">
      <c r="A714" s="4">
        <v>132450</v>
      </c>
      <c r="B714" s="5" t="s">
        <v>851</v>
      </c>
    </row>
    <row r="715" spans="1:2" x14ac:dyDescent="0.35">
      <c r="A715" s="4">
        <v>132500</v>
      </c>
      <c r="B715" s="5" t="s">
        <v>852</v>
      </c>
    </row>
    <row r="716" spans="1:2" x14ac:dyDescent="0.35">
      <c r="A716" s="4">
        <v>132550</v>
      </c>
      <c r="B716" s="5" t="s">
        <v>853</v>
      </c>
    </row>
    <row r="717" spans="1:2" x14ac:dyDescent="0.35">
      <c r="A717" s="4">
        <v>132560</v>
      </c>
      <c r="B717" s="5" t="s">
        <v>854</v>
      </c>
    </row>
    <row r="718" spans="1:2" x14ac:dyDescent="0.35">
      <c r="A718" s="4">
        <v>132570</v>
      </c>
      <c r="B718" s="5" t="s">
        <v>855</v>
      </c>
    </row>
    <row r="719" spans="1:2" x14ac:dyDescent="0.35">
      <c r="A719" s="4">
        <v>132600</v>
      </c>
      <c r="B719" s="5" t="s">
        <v>856</v>
      </c>
    </row>
    <row r="720" spans="1:2" x14ac:dyDescent="0.35">
      <c r="A720" s="4">
        <v>132650</v>
      </c>
      <c r="B720" s="5" t="s">
        <v>857</v>
      </c>
    </row>
    <row r="721" spans="1:2" x14ac:dyDescent="0.35">
      <c r="A721" s="4">
        <v>132900</v>
      </c>
      <c r="B721" s="5" t="s">
        <v>858</v>
      </c>
    </row>
    <row r="722" spans="1:2" x14ac:dyDescent="0.35">
      <c r="A722" s="4">
        <v>133000</v>
      </c>
      <c r="B722" s="5" t="s">
        <v>859</v>
      </c>
    </row>
    <row r="723" spans="1:2" x14ac:dyDescent="0.35">
      <c r="A723" s="4">
        <v>133100</v>
      </c>
      <c r="B723" s="5" t="s">
        <v>860</v>
      </c>
    </row>
    <row r="724" spans="1:2" x14ac:dyDescent="0.35">
      <c r="A724" s="4">
        <v>134100</v>
      </c>
      <c r="B724" s="5" t="s">
        <v>861</v>
      </c>
    </row>
    <row r="725" spans="1:2" x14ac:dyDescent="0.35">
      <c r="A725" s="4">
        <v>134200</v>
      </c>
      <c r="B725" s="5" t="s">
        <v>862</v>
      </c>
    </row>
    <row r="726" spans="1:2" x14ac:dyDescent="0.35">
      <c r="A726" s="4">
        <v>135100</v>
      </c>
      <c r="B726" s="5" t="s">
        <v>863</v>
      </c>
    </row>
    <row r="727" spans="1:2" x14ac:dyDescent="0.35">
      <c r="A727" s="4">
        <v>135200</v>
      </c>
      <c r="B727" s="5" t="s">
        <v>864</v>
      </c>
    </row>
    <row r="728" spans="1:2" x14ac:dyDescent="0.35">
      <c r="A728" s="4">
        <v>136100</v>
      </c>
      <c r="B728" s="5" t="s">
        <v>865</v>
      </c>
    </row>
    <row r="729" spans="1:2" x14ac:dyDescent="0.35">
      <c r="A729" s="4">
        <v>137200</v>
      </c>
      <c r="B729" s="5" t="s">
        <v>866</v>
      </c>
    </row>
    <row r="730" spans="1:2" x14ac:dyDescent="0.35">
      <c r="A730" s="4">
        <v>137400</v>
      </c>
      <c r="B730" s="5" t="s">
        <v>867</v>
      </c>
    </row>
    <row r="731" spans="1:2" x14ac:dyDescent="0.35">
      <c r="A731" s="4">
        <v>139100</v>
      </c>
      <c r="B731" s="5" t="s">
        <v>868</v>
      </c>
    </row>
    <row r="732" spans="1:2" x14ac:dyDescent="0.35">
      <c r="A732" s="4">
        <v>139110</v>
      </c>
      <c r="B732" s="5" t="s">
        <v>869</v>
      </c>
    </row>
    <row r="733" spans="1:2" x14ac:dyDescent="0.35">
      <c r="A733" s="4">
        <v>139200</v>
      </c>
      <c r="B733" s="5" t="s">
        <v>870</v>
      </c>
    </row>
    <row r="734" spans="1:2" x14ac:dyDescent="0.35">
      <c r="A734" s="4">
        <v>139300</v>
      </c>
      <c r="B734" s="5" t="s">
        <v>871</v>
      </c>
    </row>
    <row r="735" spans="1:2" x14ac:dyDescent="0.35">
      <c r="A735" s="4">
        <v>139400</v>
      </c>
      <c r="B735" s="5" t="s">
        <v>872</v>
      </c>
    </row>
    <row r="736" spans="1:2" x14ac:dyDescent="0.35">
      <c r="A736" s="4">
        <v>139410</v>
      </c>
      <c r="B736" s="5" t="s">
        <v>873</v>
      </c>
    </row>
    <row r="737" spans="1:2" x14ac:dyDescent="0.35">
      <c r="A737" s="4">
        <v>139500</v>
      </c>
      <c r="B737" s="5" t="s">
        <v>874</v>
      </c>
    </row>
    <row r="738" spans="1:2" x14ac:dyDescent="0.35">
      <c r="A738" s="4">
        <v>139510</v>
      </c>
      <c r="B738" s="5" t="s">
        <v>875</v>
      </c>
    </row>
    <row r="739" spans="1:2" x14ac:dyDescent="0.35">
      <c r="A739" s="4">
        <v>139600</v>
      </c>
      <c r="B739" s="5" t="s">
        <v>876</v>
      </c>
    </row>
    <row r="740" spans="1:2" x14ac:dyDescent="0.35">
      <c r="A740" s="4">
        <v>139700</v>
      </c>
      <c r="B740" s="5" t="s">
        <v>877</v>
      </c>
    </row>
    <row r="741" spans="1:2" x14ac:dyDescent="0.35">
      <c r="A741" s="4">
        <v>139800</v>
      </c>
      <c r="B741" s="5" t="s">
        <v>878</v>
      </c>
    </row>
    <row r="742" spans="1:2" x14ac:dyDescent="0.35">
      <c r="A742" s="4">
        <v>139900</v>
      </c>
      <c r="B742" s="5" t="s">
        <v>879</v>
      </c>
    </row>
    <row r="743" spans="1:2" x14ac:dyDescent="0.35">
      <c r="A743" s="4">
        <v>141200</v>
      </c>
      <c r="B743" s="5" t="s">
        <v>880</v>
      </c>
    </row>
    <row r="744" spans="1:2" x14ac:dyDescent="0.35">
      <c r="A744" s="4">
        <v>141300</v>
      </c>
      <c r="B744" s="5" t="s">
        <v>881</v>
      </c>
    </row>
    <row r="745" spans="1:2" x14ac:dyDescent="0.35">
      <c r="A745" s="4">
        <v>141400</v>
      </c>
      <c r="B745" s="5" t="s">
        <v>882</v>
      </c>
    </row>
    <row r="746" spans="1:2" x14ac:dyDescent="0.35">
      <c r="A746" s="4">
        <v>141500</v>
      </c>
      <c r="B746" s="5" t="s">
        <v>883</v>
      </c>
    </row>
    <row r="747" spans="1:2" x14ac:dyDescent="0.35">
      <c r="A747" s="4">
        <v>141600</v>
      </c>
      <c r="B747" s="5" t="s">
        <v>884</v>
      </c>
    </row>
    <row r="748" spans="1:2" x14ac:dyDescent="0.35">
      <c r="A748" s="4">
        <v>141800</v>
      </c>
      <c r="B748" s="5" t="s">
        <v>885</v>
      </c>
    </row>
    <row r="749" spans="1:2" x14ac:dyDescent="0.35">
      <c r="A749" s="4">
        <v>141900</v>
      </c>
      <c r="B749" s="5" t="s">
        <v>886</v>
      </c>
    </row>
    <row r="750" spans="1:2" x14ac:dyDescent="0.35">
      <c r="A750" s="4">
        <v>142200</v>
      </c>
      <c r="B750" s="5" t="s">
        <v>887</v>
      </c>
    </row>
    <row r="751" spans="1:2" x14ac:dyDescent="0.35">
      <c r="A751" s="4">
        <v>142300</v>
      </c>
      <c r="B751" s="5" t="s">
        <v>888</v>
      </c>
    </row>
    <row r="752" spans="1:2" x14ac:dyDescent="0.35">
      <c r="A752" s="4">
        <v>142400</v>
      </c>
      <c r="B752" s="5" t="s">
        <v>889</v>
      </c>
    </row>
    <row r="753" spans="1:2" x14ac:dyDescent="0.35">
      <c r="A753" s="4">
        <v>142900</v>
      </c>
      <c r="B753" s="5" t="s">
        <v>890</v>
      </c>
    </row>
    <row r="754" spans="1:2" x14ac:dyDescent="0.35">
      <c r="A754" s="4">
        <v>143100</v>
      </c>
      <c r="B754" s="5" t="s">
        <v>891</v>
      </c>
    </row>
    <row r="755" spans="1:2" x14ac:dyDescent="0.35">
      <c r="A755" s="4">
        <v>149100</v>
      </c>
      <c r="B755" s="5" t="s">
        <v>892</v>
      </c>
    </row>
    <row r="756" spans="1:2" x14ac:dyDescent="0.35">
      <c r="A756" s="4">
        <v>151200</v>
      </c>
      <c r="B756" s="5" t="s">
        <v>893</v>
      </c>
    </row>
    <row r="757" spans="1:2" x14ac:dyDescent="0.35">
      <c r="A757" s="4">
        <v>151400</v>
      </c>
      <c r="B757" s="5" t="s">
        <v>894</v>
      </c>
    </row>
    <row r="758" spans="1:2" x14ac:dyDescent="0.35">
      <c r="A758" s="4">
        <v>153000</v>
      </c>
      <c r="B758" s="5" t="s">
        <v>895</v>
      </c>
    </row>
    <row r="759" spans="1:2" x14ac:dyDescent="0.35">
      <c r="A759" s="4">
        <v>157000</v>
      </c>
      <c r="B759" s="5" t="s">
        <v>896</v>
      </c>
    </row>
    <row r="760" spans="1:2" x14ac:dyDescent="0.35">
      <c r="A760" s="4">
        <v>157100</v>
      </c>
      <c r="B760" s="5" t="s">
        <v>897</v>
      </c>
    </row>
    <row r="761" spans="1:2" x14ac:dyDescent="0.35">
      <c r="A761" s="4">
        <v>157200</v>
      </c>
      <c r="B761" s="5" t="s">
        <v>898</v>
      </c>
    </row>
    <row r="762" spans="1:2" x14ac:dyDescent="0.35">
      <c r="A762" s="4">
        <v>157300</v>
      </c>
      <c r="B762" s="5" t="s">
        <v>899</v>
      </c>
    </row>
    <row r="763" spans="1:2" x14ac:dyDescent="0.35">
      <c r="A763" s="4">
        <v>157400</v>
      </c>
      <c r="B763" s="5" t="s">
        <v>900</v>
      </c>
    </row>
    <row r="764" spans="1:2" x14ac:dyDescent="0.35">
      <c r="A764" s="4">
        <v>157600</v>
      </c>
      <c r="B764" s="5" t="s">
        <v>901</v>
      </c>
    </row>
    <row r="765" spans="1:2" x14ac:dyDescent="0.35">
      <c r="A765" s="4">
        <v>157700</v>
      </c>
      <c r="B765" s="5" t="s">
        <v>902</v>
      </c>
    </row>
    <row r="766" spans="1:2" x14ac:dyDescent="0.35">
      <c r="A766" s="4">
        <v>157800</v>
      </c>
      <c r="B766" s="5" t="s">
        <v>903</v>
      </c>
    </row>
    <row r="767" spans="1:2" x14ac:dyDescent="0.35">
      <c r="A767" s="4">
        <v>157900</v>
      </c>
      <c r="B767" s="5" t="s">
        <v>904</v>
      </c>
    </row>
    <row r="768" spans="1:2" x14ac:dyDescent="0.35">
      <c r="A768" s="4">
        <v>158000</v>
      </c>
      <c r="B768" s="5" t="s">
        <v>905</v>
      </c>
    </row>
    <row r="769" spans="1:2" x14ac:dyDescent="0.35">
      <c r="A769" s="4">
        <v>158100</v>
      </c>
      <c r="B769" s="5" t="s">
        <v>906</v>
      </c>
    </row>
    <row r="770" spans="1:2" x14ac:dyDescent="0.35">
      <c r="A770" s="4">
        <v>158200</v>
      </c>
      <c r="B770" s="5" t="s">
        <v>907</v>
      </c>
    </row>
    <row r="771" spans="1:2" x14ac:dyDescent="0.35">
      <c r="A771" s="4">
        <v>158700</v>
      </c>
      <c r="B771" s="5" t="s">
        <v>908</v>
      </c>
    </row>
    <row r="772" spans="1:2" x14ac:dyDescent="0.35">
      <c r="A772" s="4">
        <v>158800</v>
      </c>
      <c r="B772" s="5" t="s">
        <v>909</v>
      </c>
    </row>
    <row r="773" spans="1:2" x14ac:dyDescent="0.35">
      <c r="A773" s="4">
        <v>158810</v>
      </c>
      <c r="B773" s="5" t="s">
        <v>910</v>
      </c>
    </row>
    <row r="774" spans="1:2" x14ac:dyDescent="0.35">
      <c r="A774" s="4">
        <v>158900</v>
      </c>
      <c r="B774" s="5" t="s">
        <v>911</v>
      </c>
    </row>
    <row r="775" spans="1:2" x14ac:dyDescent="0.35">
      <c r="A775" s="4">
        <v>159000</v>
      </c>
      <c r="B775" s="5" t="s">
        <v>912</v>
      </c>
    </row>
    <row r="776" spans="1:2" x14ac:dyDescent="0.35">
      <c r="A776" s="4">
        <v>159100</v>
      </c>
      <c r="B776" s="5" t="s">
        <v>913</v>
      </c>
    </row>
    <row r="777" spans="1:2" x14ac:dyDescent="0.35">
      <c r="A777" s="4">
        <v>159190</v>
      </c>
      <c r="B777" s="5" t="s">
        <v>914</v>
      </c>
    </row>
    <row r="778" spans="1:2" x14ac:dyDescent="0.35">
      <c r="A778" s="4">
        <v>159200</v>
      </c>
      <c r="B778" s="5" t="s">
        <v>915</v>
      </c>
    </row>
    <row r="779" spans="1:2" x14ac:dyDescent="0.35">
      <c r="A779" s="4">
        <v>159300</v>
      </c>
      <c r="B779" s="5" t="s">
        <v>916</v>
      </c>
    </row>
    <row r="780" spans="1:2" x14ac:dyDescent="0.35">
      <c r="A780" s="4">
        <v>159310</v>
      </c>
      <c r="B780" s="5" t="s">
        <v>917</v>
      </c>
    </row>
    <row r="781" spans="1:2" x14ac:dyDescent="0.35">
      <c r="A781" s="4">
        <v>159320</v>
      </c>
      <c r="B781" s="5" t="s">
        <v>918</v>
      </c>
    </row>
    <row r="782" spans="1:2" x14ac:dyDescent="0.35">
      <c r="A782" s="4">
        <v>159400</v>
      </c>
      <c r="B782" s="5" t="s">
        <v>919</v>
      </c>
    </row>
    <row r="783" spans="1:2" x14ac:dyDescent="0.35">
      <c r="A783" s="4">
        <v>159500</v>
      </c>
      <c r="B783" s="5" t="s">
        <v>920</v>
      </c>
    </row>
    <row r="784" spans="1:2" x14ac:dyDescent="0.35">
      <c r="A784" s="4">
        <v>159600</v>
      </c>
      <c r="B784" s="5" t="s">
        <v>921</v>
      </c>
    </row>
    <row r="785" spans="1:2" x14ac:dyDescent="0.35">
      <c r="A785" s="4">
        <v>159700</v>
      </c>
      <c r="B785" s="5" t="s">
        <v>922</v>
      </c>
    </row>
    <row r="786" spans="1:2" x14ac:dyDescent="0.35">
      <c r="A786" s="4">
        <v>159800</v>
      </c>
      <c r="B786" s="5" t="s">
        <v>923</v>
      </c>
    </row>
    <row r="787" spans="1:2" x14ac:dyDescent="0.35">
      <c r="A787" s="4">
        <v>159900</v>
      </c>
      <c r="B787" s="5" t="s">
        <v>924</v>
      </c>
    </row>
    <row r="788" spans="1:2" x14ac:dyDescent="0.35">
      <c r="A788" s="4">
        <v>161200</v>
      </c>
      <c r="B788" s="5" t="s">
        <v>925</v>
      </c>
    </row>
    <row r="789" spans="1:2" x14ac:dyDescent="0.35">
      <c r="A789" s="4">
        <v>161300</v>
      </c>
      <c r="B789" s="5" t="s">
        <v>926</v>
      </c>
    </row>
    <row r="790" spans="1:2" x14ac:dyDescent="0.35">
      <c r="A790" s="4">
        <v>161400</v>
      </c>
      <c r="B790" s="5" t="s">
        <v>927</v>
      </c>
    </row>
    <row r="791" spans="1:2" x14ac:dyDescent="0.35">
      <c r="A791" s="4">
        <v>161410</v>
      </c>
      <c r="B791" s="5" t="s">
        <v>928</v>
      </c>
    </row>
    <row r="792" spans="1:2" x14ac:dyDescent="0.35">
      <c r="A792" s="4">
        <v>161500</v>
      </c>
      <c r="B792" s="5" t="s">
        <v>929</v>
      </c>
    </row>
    <row r="793" spans="1:2" x14ac:dyDescent="0.35">
      <c r="A793" s="4">
        <v>161600</v>
      </c>
      <c r="B793" s="5" t="s">
        <v>930</v>
      </c>
    </row>
    <row r="794" spans="1:2" x14ac:dyDescent="0.35">
      <c r="A794" s="4">
        <v>161700</v>
      </c>
      <c r="B794" s="5" t="s">
        <v>931</v>
      </c>
    </row>
    <row r="795" spans="1:2" x14ac:dyDescent="0.35">
      <c r="A795" s="4">
        <v>161900</v>
      </c>
      <c r="B795" s="5" t="s">
        <v>932</v>
      </c>
    </row>
    <row r="796" spans="1:2" x14ac:dyDescent="0.35">
      <c r="A796" s="4">
        <v>162000</v>
      </c>
      <c r="B796" s="5" t="s">
        <v>933</v>
      </c>
    </row>
    <row r="797" spans="1:2" x14ac:dyDescent="0.35">
      <c r="A797" s="4">
        <v>162100</v>
      </c>
      <c r="B797" s="5" t="s">
        <v>934</v>
      </c>
    </row>
    <row r="798" spans="1:2" x14ac:dyDescent="0.35">
      <c r="A798" s="4">
        <v>162200</v>
      </c>
      <c r="B798" s="5" t="s">
        <v>935</v>
      </c>
    </row>
    <row r="799" spans="1:2" x14ac:dyDescent="0.35">
      <c r="A799" s="4">
        <v>162300</v>
      </c>
      <c r="B799" s="5" t="s">
        <v>936</v>
      </c>
    </row>
    <row r="800" spans="1:2" x14ac:dyDescent="0.35">
      <c r="A800" s="4">
        <v>162400</v>
      </c>
      <c r="B800" s="5" t="s">
        <v>937</v>
      </c>
    </row>
    <row r="801" spans="1:2" x14ac:dyDescent="0.35">
      <c r="A801" s="4">
        <v>162500</v>
      </c>
      <c r="B801" s="5" t="s">
        <v>938</v>
      </c>
    </row>
    <row r="802" spans="1:2" x14ac:dyDescent="0.35">
      <c r="A802" s="4">
        <v>162510</v>
      </c>
      <c r="B802" s="5" t="s">
        <v>939</v>
      </c>
    </row>
    <row r="803" spans="1:2" x14ac:dyDescent="0.35">
      <c r="A803" s="4">
        <v>162580</v>
      </c>
      <c r="B803" s="5" t="s">
        <v>940</v>
      </c>
    </row>
    <row r="804" spans="1:2" x14ac:dyDescent="0.35">
      <c r="A804" s="4">
        <v>162590</v>
      </c>
      <c r="B804" s="5" t="s">
        <v>941</v>
      </c>
    </row>
    <row r="805" spans="1:2" x14ac:dyDescent="0.35">
      <c r="A805" s="4">
        <v>162600</v>
      </c>
      <c r="B805" s="5" t="s">
        <v>942</v>
      </c>
    </row>
    <row r="806" spans="1:2" x14ac:dyDescent="0.35">
      <c r="A806" s="4">
        <v>162700</v>
      </c>
      <c r="B806" s="5" t="s">
        <v>943</v>
      </c>
    </row>
    <row r="807" spans="1:2" x14ac:dyDescent="0.35">
      <c r="A807" s="4">
        <v>162710</v>
      </c>
      <c r="B807" s="5" t="s">
        <v>944</v>
      </c>
    </row>
    <row r="808" spans="1:2" x14ac:dyDescent="0.35">
      <c r="A808" s="4">
        <v>162720</v>
      </c>
      <c r="B808" s="5" t="s">
        <v>945</v>
      </c>
    </row>
    <row r="809" spans="1:2" x14ac:dyDescent="0.35">
      <c r="A809" s="4">
        <v>162730</v>
      </c>
      <c r="B809" s="5" t="s">
        <v>946</v>
      </c>
    </row>
    <row r="810" spans="1:2" x14ac:dyDescent="0.35">
      <c r="A810" s="4">
        <v>162800</v>
      </c>
      <c r="B810" s="5" t="s">
        <v>947</v>
      </c>
    </row>
    <row r="811" spans="1:2" x14ac:dyDescent="0.35">
      <c r="A811" s="4">
        <v>162900</v>
      </c>
      <c r="B811" s="5" t="s">
        <v>948</v>
      </c>
    </row>
    <row r="812" spans="1:2" x14ac:dyDescent="0.35">
      <c r="A812" s="4">
        <v>163000</v>
      </c>
      <c r="B812" s="5" t="s">
        <v>949</v>
      </c>
    </row>
    <row r="813" spans="1:2" x14ac:dyDescent="0.35">
      <c r="A813" s="4">
        <v>163100</v>
      </c>
      <c r="B813" s="5" t="s">
        <v>950</v>
      </c>
    </row>
    <row r="814" spans="1:2" x14ac:dyDescent="0.35">
      <c r="A814" s="4">
        <v>163200</v>
      </c>
      <c r="B814" s="5" t="s">
        <v>951</v>
      </c>
    </row>
    <row r="815" spans="1:2" x14ac:dyDescent="0.35">
      <c r="A815" s="4">
        <v>163300</v>
      </c>
      <c r="B815" s="5" t="s">
        <v>952</v>
      </c>
    </row>
    <row r="816" spans="1:2" x14ac:dyDescent="0.35">
      <c r="A816" s="4">
        <v>163310</v>
      </c>
      <c r="B816" s="5" t="s">
        <v>953</v>
      </c>
    </row>
    <row r="817" spans="1:2" x14ac:dyDescent="0.35">
      <c r="A817" s="4">
        <v>163400</v>
      </c>
      <c r="B817" s="5" t="s">
        <v>954</v>
      </c>
    </row>
    <row r="818" spans="1:2" x14ac:dyDescent="0.35">
      <c r="A818" s="4">
        <v>163500</v>
      </c>
      <c r="B818" s="5" t="s">
        <v>955</v>
      </c>
    </row>
    <row r="819" spans="1:2" x14ac:dyDescent="0.35">
      <c r="A819" s="4">
        <v>163600</v>
      </c>
      <c r="B819" s="5" t="s">
        <v>956</v>
      </c>
    </row>
    <row r="820" spans="1:2" x14ac:dyDescent="0.35">
      <c r="A820" s="4">
        <v>163700</v>
      </c>
      <c r="B820" s="5" t="s">
        <v>957</v>
      </c>
    </row>
    <row r="821" spans="1:2" x14ac:dyDescent="0.35">
      <c r="A821" s="4">
        <v>163900</v>
      </c>
      <c r="B821" s="5" t="s">
        <v>958</v>
      </c>
    </row>
    <row r="822" spans="1:2" x14ac:dyDescent="0.35">
      <c r="A822" s="4">
        <v>170000</v>
      </c>
      <c r="B822" s="5" t="s">
        <v>959</v>
      </c>
    </row>
    <row r="823" spans="1:2" x14ac:dyDescent="0.35">
      <c r="A823" s="4">
        <v>171200</v>
      </c>
      <c r="B823" s="5" t="s">
        <v>960</v>
      </c>
    </row>
    <row r="824" spans="1:2" x14ac:dyDescent="0.35">
      <c r="A824" s="4">
        <v>171300</v>
      </c>
      <c r="B824" s="5" t="s">
        <v>961</v>
      </c>
    </row>
    <row r="825" spans="1:2" x14ac:dyDescent="0.35">
      <c r="A825" s="4">
        <v>171400</v>
      </c>
      <c r="B825" s="5" t="s">
        <v>962</v>
      </c>
    </row>
    <row r="826" spans="1:2" x14ac:dyDescent="0.35">
      <c r="A826" s="4">
        <v>171500</v>
      </c>
      <c r="B826" s="5" t="s">
        <v>963</v>
      </c>
    </row>
    <row r="827" spans="1:2" x14ac:dyDescent="0.35">
      <c r="A827" s="4">
        <v>171600</v>
      </c>
      <c r="B827" s="5" t="s">
        <v>964</v>
      </c>
    </row>
    <row r="828" spans="1:2" x14ac:dyDescent="0.35">
      <c r="A828" s="4">
        <v>171700</v>
      </c>
      <c r="B828" s="5" t="s">
        <v>965</v>
      </c>
    </row>
    <row r="829" spans="1:2" x14ac:dyDescent="0.35">
      <c r="A829" s="4">
        <v>171800</v>
      </c>
      <c r="B829" s="5" t="s">
        <v>966</v>
      </c>
    </row>
    <row r="830" spans="1:2" x14ac:dyDescent="0.35">
      <c r="A830" s="4">
        <v>171900</v>
      </c>
      <c r="B830" s="5" t="s">
        <v>967</v>
      </c>
    </row>
    <row r="831" spans="1:2" x14ac:dyDescent="0.35">
      <c r="A831" s="4">
        <v>172000</v>
      </c>
      <c r="B831" s="5" t="s">
        <v>968</v>
      </c>
    </row>
    <row r="832" spans="1:2" x14ac:dyDescent="0.35">
      <c r="A832" s="4">
        <v>172100</v>
      </c>
      <c r="B832" s="5" t="s">
        <v>969</v>
      </c>
    </row>
    <row r="833" spans="1:2" x14ac:dyDescent="0.35">
      <c r="A833" s="4">
        <v>172110</v>
      </c>
      <c r="B833" s="5" t="s">
        <v>970</v>
      </c>
    </row>
    <row r="834" spans="1:2" x14ac:dyDescent="0.35">
      <c r="A834" s="4">
        <v>172120</v>
      </c>
      <c r="B834" s="5" t="s">
        <v>971</v>
      </c>
    </row>
    <row r="835" spans="1:2" x14ac:dyDescent="0.35">
      <c r="A835" s="4">
        <v>172200</v>
      </c>
      <c r="B835" s="5" t="s">
        <v>972</v>
      </c>
    </row>
    <row r="836" spans="1:2" x14ac:dyDescent="0.35">
      <c r="A836" s="4">
        <v>172300</v>
      </c>
      <c r="B836" s="5" t="s">
        <v>973</v>
      </c>
    </row>
    <row r="837" spans="1:2" x14ac:dyDescent="0.35">
      <c r="A837" s="4">
        <v>172400</v>
      </c>
      <c r="B837" s="5" t="s">
        <v>974</v>
      </c>
    </row>
    <row r="838" spans="1:2" x14ac:dyDescent="0.35">
      <c r="A838" s="4">
        <v>173200</v>
      </c>
      <c r="B838" s="5" t="s">
        <v>975</v>
      </c>
    </row>
    <row r="839" spans="1:2" x14ac:dyDescent="0.35">
      <c r="A839" s="4">
        <v>173300</v>
      </c>
      <c r="B839" s="5" t="s">
        <v>976</v>
      </c>
    </row>
    <row r="840" spans="1:2" x14ac:dyDescent="0.35">
      <c r="A840" s="4">
        <v>173400</v>
      </c>
      <c r="B840" s="5" t="s">
        <v>977</v>
      </c>
    </row>
    <row r="841" spans="1:2" x14ac:dyDescent="0.35">
      <c r="A841" s="4">
        <v>173500</v>
      </c>
      <c r="B841" s="5" t="s">
        <v>978</v>
      </c>
    </row>
    <row r="842" spans="1:2" x14ac:dyDescent="0.35">
      <c r="A842" s="4">
        <v>173600</v>
      </c>
      <c r="B842" s="5" t="s">
        <v>979</v>
      </c>
    </row>
    <row r="843" spans="1:2" x14ac:dyDescent="0.35">
      <c r="A843" s="4">
        <v>173900</v>
      </c>
      <c r="B843" s="5" t="s">
        <v>980</v>
      </c>
    </row>
    <row r="844" spans="1:2" x14ac:dyDescent="0.35">
      <c r="A844" s="4">
        <v>174100</v>
      </c>
      <c r="B844" s="5" t="s">
        <v>981</v>
      </c>
    </row>
    <row r="845" spans="1:2" x14ac:dyDescent="0.35">
      <c r="A845" s="4">
        <v>174110</v>
      </c>
      <c r="B845" s="5" t="s">
        <v>982</v>
      </c>
    </row>
    <row r="846" spans="1:2" x14ac:dyDescent="0.35">
      <c r="A846" s="4">
        <v>174120</v>
      </c>
      <c r="B846" s="5" t="s">
        <v>983</v>
      </c>
    </row>
    <row r="847" spans="1:2" x14ac:dyDescent="0.35">
      <c r="A847" s="4">
        <v>174130</v>
      </c>
      <c r="B847" s="5" t="s">
        <v>984</v>
      </c>
    </row>
    <row r="848" spans="1:2" x14ac:dyDescent="0.35">
      <c r="A848" s="4">
        <v>174200</v>
      </c>
      <c r="B848" s="5" t="s">
        <v>985</v>
      </c>
    </row>
    <row r="849" spans="1:2" x14ac:dyDescent="0.35">
      <c r="A849" s="4">
        <v>174300</v>
      </c>
      <c r="B849" s="5" t="s">
        <v>986</v>
      </c>
    </row>
    <row r="850" spans="1:2" x14ac:dyDescent="0.35">
      <c r="A850" s="4">
        <v>174310</v>
      </c>
      <c r="B850" s="5" t="s">
        <v>987</v>
      </c>
    </row>
    <row r="851" spans="1:2" x14ac:dyDescent="0.35">
      <c r="A851" s="4">
        <v>174400</v>
      </c>
      <c r="B851" s="5" t="s">
        <v>988</v>
      </c>
    </row>
    <row r="852" spans="1:2" x14ac:dyDescent="0.35">
      <c r="A852" s="4">
        <v>174500</v>
      </c>
      <c r="B852" s="5" t="s">
        <v>989</v>
      </c>
    </row>
    <row r="853" spans="1:2" x14ac:dyDescent="0.35">
      <c r="A853" s="4">
        <v>174600</v>
      </c>
      <c r="B853" s="5" t="s">
        <v>990</v>
      </c>
    </row>
    <row r="854" spans="1:2" x14ac:dyDescent="0.35">
      <c r="A854" s="4">
        <v>174900</v>
      </c>
      <c r="B854" s="5" t="s">
        <v>991</v>
      </c>
    </row>
    <row r="855" spans="1:2" x14ac:dyDescent="0.35">
      <c r="A855" s="4">
        <v>175200</v>
      </c>
      <c r="B855" s="5" t="s">
        <v>992</v>
      </c>
    </row>
    <row r="856" spans="1:2" x14ac:dyDescent="0.35">
      <c r="A856" s="4">
        <v>175300</v>
      </c>
      <c r="B856" s="5" t="s">
        <v>993</v>
      </c>
    </row>
    <row r="857" spans="1:2" x14ac:dyDescent="0.35">
      <c r="A857" s="4">
        <v>175400</v>
      </c>
      <c r="B857" s="5" t="s">
        <v>994</v>
      </c>
    </row>
    <row r="858" spans="1:2" x14ac:dyDescent="0.35">
      <c r="A858" s="4">
        <v>175500</v>
      </c>
      <c r="B858" s="5" t="s">
        <v>995</v>
      </c>
    </row>
    <row r="859" spans="1:2" x14ac:dyDescent="0.35">
      <c r="A859" s="4">
        <v>175600</v>
      </c>
      <c r="B859" s="5" t="s">
        <v>996</v>
      </c>
    </row>
    <row r="860" spans="1:2" x14ac:dyDescent="0.35">
      <c r="A860" s="4">
        <v>175900</v>
      </c>
      <c r="B860" s="5" t="s">
        <v>997</v>
      </c>
    </row>
    <row r="861" spans="1:2" x14ac:dyDescent="0.35">
      <c r="A861" s="4">
        <v>179200</v>
      </c>
      <c r="B861" s="5" t="s">
        <v>998</v>
      </c>
    </row>
    <row r="862" spans="1:2" x14ac:dyDescent="0.35">
      <c r="A862" s="4">
        <v>179300</v>
      </c>
      <c r="B862" s="5" t="s">
        <v>999</v>
      </c>
    </row>
    <row r="863" spans="1:2" x14ac:dyDescent="0.35">
      <c r="A863" s="4">
        <v>179400</v>
      </c>
      <c r="B863" s="5" t="s">
        <v>1000</v>
      </c>
    </row>
    <row r="864" spans="1:2" x14ac:dyDescent="0.35">
      <c r="A864" s="4">
        <v>179900</v>
      </c>
      <c r="B864" s="5" t="s">
        <v>1001</v>
      </c>
    </row>
    <row r="865" spans="1:2" x14ac:dyDescent="0.35">
      <c r="A865" s="4">
        <v>180200</v>
      </c>
      <c r="B865" s="5" t="s">
        <v>1002</v>
      </c>
    </row>
    <row r="866" spans="1:2" x14ac:dyDescent="0.35">
      <c r="A866" s="4">
        <v>180300</v>
      </c>
      <c r="B866" s="5" t="s">
        <v>1003</v>
      </c>
    </row>
    <row r="867" spans="1:2" x14ac:dyDescent="0.35">
      <c r="A867" s="4">
        <v>180400</v>
      </c>
      <c r="B867" s="5" t="s">
        <v>1004</v>
      </c>
    </row>
    <row r="868" spans="1:2" x14ac:dyDescent="0.35">
      <c r="A868" s="4">
        <v>180500</v>
      </c>
      <c r="B868" s="5" t="s">
        <v>1005</v>
      </c>
    </row>
    <row r="869" spans="1:2" x14ac:dyDescent="0.35">
      <c r="A869" s="4">
        <v>180510</v>
      </c>
      <c r="B869" s="5" t="s">
        <v>1006</v>
      </c>
    </row>
    <row r="870" spans="1:2" x14ac:dyDescent="0.35">
      <c r="A870" s="4">
        <v>180520</v>
      </c>
      <c r="B870" s="5" t="s">
        <v>1007</v>
      </c>
    </row>
    <row r="871" spans="1:2" x14ac:dyDescent="0.35">
      <c r="A871" s="4">
        <v>180600</v>
      </c>
      <c r="B871" s="5" t="s">
        <v>1008</v>
      </c>
    </row>
    <row r="872" spans="1:2" x14ac:dyDescent="0.35">
      <c r="A872" s="4">
        <v>180700</v>
      </c>
      <c r="B872" s="5" t="s">
        <v>1009</v>
      </c>
    </row>
    <row r="873" spans="1:2" x14ac:dyDescent="0.35">
      <c r="A873" s="4">
        <v>180710</v>
      </c>
      <c r="B873" s="5" t="s">
        <v>1010</v>
      </c>
    </row>
    <row r="874" spans="1:2" x14ac:dyDescent="0.35">
      <c r="A874" s="4">
        <v>180800</v>
      </c>
      <c r="B874" s="5" t="s">
        <v>1011</v>
      </c>
    </row>
    <row r="875" spans="1:2" x14ac:dyDescent="0.35">
      <c r="A875" s="4">
        <v>180900</v>
      </c>
      <c r="B875" s="5" t="s">
        <v>1012</v>
      </c>
    </row>
    <row r="876" spans="1:2" x14ac:dyDescent="0.35">
      <c r="A876" s="4">
        <v>191100</v>
      </c>
      <c r="B876" s="5" t="s">
        <v>1013</v>
      </c>
    </row>
    <row r="877" spans="1:2" x14ac:dyDescent="0.35">
      <c r="A877" s="4">
        <v>191200</v>
      </c>
      <c r="B877" s="5" t="s">
        <v>1014</v>
      </c>
    </row>
    <row r="878" spans="1:2" x14ac:dyDescent="0.35">
      <c r="A878" s="4">
        <v>191300</v>
      </c>
      <c r="B878" s="5" t="s">
        <v>1015</v>
      </c>
    </row>
    <row r="879" spans="1:2" x14ac:dyDescent="0.35">
      <c r="A879" s="4">
        <v>191400</v>
      </c>
      <c r="B879" s="5" t="s">
        <v>1016</v>
      </c>
    </row>
    <row r="880" spans="1:2" x14ac:dyDescent="0.35">
      <c r="A880" s="4">
        <v>191900</v>
      </c>
      <c r="B880" s="5" t="s">
        <v>1017</v>
      </c>
    </row>
    <row r="881" spans="1:2" x14ac:dyDescent="0.35">
      <c r="A881" s="4">
        <v>192200</v>
      </c>
      <c r="B881" s="5" t="s">
        <v>1018</v>
      </c>
    </row>
    <row r="882" spans="1:2" x14ac:dyDescent="0.35">
      <c r="A882" s="4">
        <v>192300</v>
      </c>
      <c r="B882" s="5" t="s">
        <v>1019</v>
      </c>
    </row>
    <row r="883" spans="1:2" x14ac:dyDescent="0.35">
      <c r="A883" s="4">
        <v>192400</v>
      </c>
      <c r="B883" s="5" t="s">
        <v>1020</v>
      </c>
    </row>
    <row r="884" spans="1:2" x14ac:dyDescent="0.35">
      <c r="A884" s="4">
        <v>192500</v>
      </c>
      <c r="B884" s="5" t="s">
        <v>1021</v>
      </c>
    </row>
    <row r="885" spans="1:2" x14ac:dyDescent="0.35">
      <c r="A885" s="4">
        <v>192600</v>
      </c>
      <c r="B885" s="5" t="s">
        <v>1022</v>
      </c>
    </row>
    <row r="886" spans="1:2" x14ac:dyDescent="0.35">
      <c r="A886" s="4">
        <v>192700</v>
      </c>
      <c r="B886" s="5" t="s">
        <v>1023</v>
      </c>
    </row>
    <row r="887" spans="1:2" x14ac:dyDescent="0.35">
      <c r="A887" s="4">
        <v>192900</v>
      </c>
      <c r="B887" s="5" t="s">
        <v>1024</v>
      </c>
    </row>
    <row r="888" spans="1:2" x14ac:dyDescent="0.35">
      <c r="A888" s="4">
        <v>193000</v>
      </c>
      <c r="B888" s="5" t="s">
        <v>1025</v>
      </c>
    </row>
    <row r="889" spans="1:2" x14ac:dyDescent="0.35">
      <c r="A889" s="4">
        <v>193100</v>
      </c>
      <c r="B889" s="5" t="s">
        <v>1026</v>
      </c>
    </row>
    <row r="890" spans="1:2" x14ac:dyDescent="0.35">
      <c r="A890" s="4">
        <v>193110</v>
      </c>
      <c r="B890" s="5" t="s">
        <v>1027</v>
      </c>
    </row>
    <row r="891" spans="1:2" x14ac:dyDescent="0.35">
      <c r="A891" s="4">
        <v>193120</v>
      </c>
      <c r="B891" s="5" t="s">
        <v>1028</v>
      </c>
    </row>
    <row r="892" spans="1:2" x14ac:dyDescent="0.35">
      <c r="A892" s="4">
        <v>193130</v>
      </c>
      <c r="B892" s="5" t="s">
        <v>1029</v>
      </c>
    </row>
    <row r="893" spans="1:2" x14ac:dyDescent="0.35">
      <c r="A893" s="4">
        <v>193200</v>
      </c>
      <c r="B893" s="5" t="s">
        <v>1030</v>
      </c>
    </row>
    <row r="894" spans="1:2" x14ac:dyDescent="0.35">
      <c r="A894" s="4">
        <v>193300</v>
      </c>
      <c r="B894" s="5" t="s">
        <v>1031</v>
      </c>
    </row>
    <row r="895" spans="1:2" x14ac:dyDescent="0.35">
      <c r="A895" s="4">
        <v>193400</v>
      </c>
      <c r="B895" s="5" t="s">
        <v>1032</v>
      </c>
    </row>
    <row r="896" spans="1:2" x14ac:dyDescent="0.35">
      <c r="A896" s="4">
        <v>193500</v>
      </c>
      <c r="B896" s="5" t="s">
        <v>1033</v>
      </c>
    </row>
    <row r="897" spans="1:2" x14ac:dyDescent="0.35">
      <c r="A897" s="4">
        <v>193600</v>
      </c>
      <c r="B897" s="5" t="s">
        <v>1034</v>
      </c>
    </row>
    <row r="898" spans="1:2" x14ac:dyDescent="0.35">
      <c r="A898" s="4">
        <v>193610</v>
      </c>
      <c r="B898" s="5" t="s">
        <v>1035</v>
      </c>
    </row>
    <row r="899" spans="1:2" x14ac:dyDescent="0.35">
      <c r="A899" s="4">
        <v>193700</v>
      </c>
      <c r="B899" s="5" t="s">
        <v>1036</v>
      </c>
    </row>
    <row r="900" spans="1:2" x14ac:dyDescent="0.35">
      <c r="A900" s="4">
        <v>193800</v>
      </c>
      <c r="B900" s="5" t="s">
        <v>1037</v>
      </c>
    </row>
    <row r="901" spans="1:2" x14ac:dyDescent="0.35">
      <c r="A901" s="4">
        <v>193900</v>
      </c>
      <c r="B901" s="5" t="s">
        <v>1038</v>
      </c>
    </row>
    <row r="902" spans="1:2" x14ac:dyDescent="0.35">
      <c r="A902" s="4">
        <v>194000</v>
      </c>
      <c r="B902" s="5" t="s">
        <v>1039</v>
      </c>
    </row>
    <row r="903" spans="1:2" x14ac:dyDescent="0.35">
      <c r="A903" s="4">
        <v>194100</v>
      </c>
      <c r="B903" s="5" t="s">
        <v>1040</v>
      </c>
    </row>
    <row r="904" spans="1:2" x14ac:dyDescent="0.35">
      <c r="A904" s="4">
        <v>194200</v>
      </c>
      <c r="B904" s="5" t="s">
        <v>1041</v>
      </c>
    </row>
    <row r="905" spans="1:2" x14ac:dyDescent="0.35">
      <c r="A905" s="4">
        <v>194210</v>
      </c>
      <c r="B905" s="5" t="s">
        <v>1042</v>
      </c>
    </row>
    <row r="906" spans="1:2" x14ac:dyDescent="0.35">
      <c r="A906" s="4">
        <v>194220</v>
      </c>
      <c r="B906" s="5" t="s">
        <v>1043</v>
      </c>
    </row>
    <row r="907" spans="1:2" x14ac:dyDescent="0.35">
      <c r="A907" s="4">
        <v>194230</v>
      </c>
      <c r="B907" s="5" t="s">
        <v>1044</v>
      </c>
    </row>
    <row r="908" spans="1:2" x14ac:dyDescent="0.35">
      <c r="A908" s="4">
        <v>194300</v>
      </c>
      <c r="B908" s="5" t="s">
        <v>1045</v>
      </c>
    </row>
    <row r="909" spans="1:2" x14ac:dyDescent="0.35">
      <c r="A909" s="4">
        <v>194400</v>
      </c>
      <c r="B909" s="5" t="s">
        <v>1046</v>
      </c>
    </row>
    <row r="910" spans="1:2" x14ac:dyDescent="0.35">
      <c r="A910" s="4">
        <v>194500</v>
      </c>
      <c r="B910" s="5" t="s">
        <v>1047</v>
      </c>
    </row>
    <row r="911" spans="1:2" x14ac:dyDescent="0.35">
      <c r="A911" s="4">
        <v>194600</v>
      </c>
      <c r="B911" s="5" t="s">
        <v>1048</v>
      </c>
    </row>
    <row r="912" spans="1:2" x14ac:dyDescent="0.35">
      <c r="A912" s="4">
        <v>194700</v>
      </c>
      <c r="B912" s="5" t="s">
        <v>1049</v>
      </c>
    </row>
    <row r="913" spans="1:2" x14ac:dyDescent="0.35">
      <c r="A913" s="4">
        <v>194710</v>
      </c>
      <c r="B913" s="5" t="s">
        <v>1050</v>
      </c>
    </row>
    <row r="914" spans="1:2" x14ac:dyDescent="0.35">
      <c r="A914" s="4">
        <v>194720</v>
      </c>
      <c r="B914" s="5" t="s">
        <v>1051</v>
      </c>
    </row>
    <row r="915" spans="1:2" x14ac:dyDescent="0.35">
      <c r="A915" s="4">
        <v>194730</v>
      </c>
      <c r="B915" s="5" t="s">
        <v>1052</v>
      </c>
    </row>
    <row r="916" spans="1:2" x14ac:dyDescent="0.35">
      <c r="A916" s="4">
        <v>194740</v>
      </c>
      <c r="B916" s="5" t="s">
        <v>1053</v>
      </c>
    </row>
    <row r="917" spans="1:2" x14ac:dyDescent="0.35">
      <c r="A917" s="4">
        <v>194750</v>
      </c>
      <c r="B917" s="5" t="s">
        <v>1054</v>
      </c>
    </row>
    <row r="918" spans="1:2" x14ac:dyDescent="0.35">
      <c r="A918" s="4">
        <v>194800</v>
      </c>
      <c r="B918" s="5" t="s">
        <v>1055</v>
      </c>
    </row>
    <row r="919" spans="1:2" x14ac:dyDescent="0.35">
      <c r="A919" s="4">
        <v>194810</v>
      </c>
      <c r="B919" s="5" t="s">
        <v>1056</v>
      </c>
    </row>
    <row r="920" spans="1:2" x14ac:dyDescent="0.35">
      <c r="A920" s="4">
        <v>194900</v>
      </c>
      <c r="B920" s="5" t="s">
        <v>1057</v>
      </c>
    </row>
    <row r="921" spans="1:2" x14ac:dyDescent="0.35">
      <c r="A921" s="4">
        <v>195000</v>
      </c>
      <c r="B921" s="5" t="s">
        <v>1058</v>
      </c>
    </row>
    <row r="922" spans="1:2" x14ac:dyDescent="0.35">
      <c r="A922" s="4">
        <v>195100</v>
      </c>
      <c r="B922" s="5" t="s">
        <v>1059</v>
      </c>
    </row>
    <row r="923" spans="1:2" x14ac:dyDescent="0.35">
      <c r="A923" s="4">
        <v>195200</v>
      </c>
      <c r="B923" s="5" t="s">
        <v>1060</v>
      </c>
    </row>
    <row r="924" spans="1:2" x14ac:dyDescent="0.35">
      <c r="A924" s="4">
        <v>195210</v>
      </c>
      <c r="B924" s="5" t="s">
        <v>1061</v>
      </c>
    </row>
    <row r="925" spans="1:2" x14ac:dyDescent="0.35">
      <c r="A925" s="4">
        <v>195300</v>
      </c>
      <c r="B925" s="5" t="s">
        <v>1062</v>
      </c>
    </row>
    <row r="926" spans="1:2" x14ac:dyDescent="0.35">
      <c r="A926" s="4">
        <v>195400</v>
      </c>
      <c r="B926" s="5" t="s">
        <v>1063</v>
      </c>
    </row>
    <row r="927" spans="1:2" x14ac:dyDescent="0.35">
      <c r="A927" s="4">
        <v>195500</v>
      </c>
      <c r="B927" s="5" t="s">
        <v>1064</v>
      </c>
    </row>
    <row r="928" spans="1:2" x14ac:dyDescent="0.35">
      <c r="A928" s="4">
        <v>196000</v>
      </c>
      <c r="B928" s="5" t="s">
        <v>1065</v>
      </c>
    </row>
    <row r="929" spans="1:2" x14ac:dyDescent="0.35">
      <c r="A929" s="4">
        <v>199200</v>
      </c>
      <c r="B929" s="5" t="s">
        <v>1066</v>
      </c>
    </row>
    <row r="930" spans="1:2" x14ac:dyDescent="0.35">
      <c r="A930" s="4">
        <v>199300</v>
      </c>
      <c r="B930" s="5" t="s">
        <v>1067</v>
      </c>
    </row>
    <row r="931" spans="1:2" x14ac:dyDescent="0.35">
      <c r="A931" s="4">
        <v>199400</v>
      </c>
      <c r="B931" s="5" t="s">
        <v>1068</v>
      </c>
    </row>
    <row r="932" spans="1:2" x14ac:dyDescent="0.35">
      <c r="A932" s="4">
        <v>199500</v>
      </c>
      <c r="B932" s="5" t="s">
        <v>1069</v>
      </c>
    </row>
    <row r="933" spans="1:2" x14ac:dyDescent="0.35">
      <c r="A933" s="4">
        <v>199900</v>
      </c>
      <c r="B933" s="5" t="s">
        <v>1070</v>
      </c>
    </row>
    <row r="934" spans="1:2" x14ac:dyDescent="0.35">
      <c r="A934" s="4">
        <v>200100</v>
      </c>
      <c r="B934" s="5" t="s">
        <v>1071</v>
      </c>
    </row>
    <row r="935" spans="1:2" x14ac:dyDescent="0.35">
      <c r="A935" s="4">
        <v>200200</v>
      </c>
      <c r="B935" s="5" t="s">
        <v>1072</v>
      </c>
    </row>
    <row r="936" spans="1:2" x14ac:dyDescent="0.35">
      <c r="A936" s="4">
        <v>200300</v>
      </c>
      <c r="B936" s="5" t="s">
        <v>1073</v>
      </c>
    </row>
    <row r="937" spans="1:2" x14ac:dyDescent="0.35">
      <c r="A937" s="4">
        <v>200400</v>
      </c>
      <c r="B937" s="5" t="s">
        <v>1074</v>
      </c>
    </row>
    <row r="938" spans="1:2" x14ac:dyDescent="0.35">
      <c r="A938" s="4">
        <v>200500</v>
      </c>
      <c r="B938" s="5" t="s">
        <v>1075</v>
      </c>
    </row>
    <row r="939" spans="1:2" x14ac:dyDescent="0.35">
      <c r="A939" s="4">
        <v>200600</v>
      </c>
      <c r="B939" s="5" t="s">
        <v>1076</v>
      </c>
    </row>
    <row r="940" spans="1:2" x14ac:dyDescent="0.35">
      <c r="A940" s="4">
        <v>200700</v>
      </c>
      <c r="B940" s="5" t="s">
        <v>1077</v>
      </c>
    </row>
    <row r="941" spans="1:2" x14ac:dyDescent="0.35">
      <c r="A941" s="4">
        <v>200800</v>
      </c>
      <c r="B941" s="5" t="s">
        <v>1078</v>
      </c>
    </row>
    <row r="942" spans="1:2" x14ac:dyDescent="0.35">
      <c r="A942" s="4">
        <v>201200</v>
      </c>
      <c r="B942" s="5" t="s">
        <v>1079</v>
      </c>
    </row>
    <row r="943" spans="1:2" x14ac:dyDescent="0.35">
      <c r="A943" s="4">
        <v>201900</v>
      </c>
      <c r="B943" s="5" t="s">
        <v>1080</v>
      </c>
    </row>
    <row r="944" spans="1:2" x14ac:dyDescent="0.35">
      <c r="A944" s="4">
        <v>202100</v>
      </c>
      <c r="B944" s="5" t="s">
        <v>1081</v>
      </c>
    </row>
    <row r="945" spans="1:2" x14ac:dyDescent="0.35">
      <c r="A945" s="4">
        <v>202200</v>
      </c>
      <c r="B945" s="5" t="s">
        <v>1082</v>
      </c>
    </row>
    <row r="946" spans="1:2" x14ac:dyDescent="0.35">
      <c r="A946" s="4">
        <v>202300</v>
      </c>
      <c r="B946" s="5" t="s">
        <v>1083</v>
      </c>
    </row>
    <row r="947" spans="1:2" x14ac:dyDescent="0.35">
      <c r="A947" s="4">
        <v>202390</v>
      </c>
      <c r="B947" s="5" t="s">
        <v>1084</v>
      </c>
    </row>
    <row r="948" spans="1:2" x14ac:dyDescent="0.35">
      <c r="A948" s="4">
        <v>202400</v>
      </c>
      <c r="B948" s="5" t="s">
        <v>1085</v>
      </c>
    </row>
    <row r="949" spans="1:2" x14ac:dyDescent="0.35">
      <c r="A949" s="4">
        <v>202410</v>
      </c>
      <c r="B949" s="5" t="s">
        <v>1086</v>
      </c>
    </row>
    <row r="950" spans="1:2" x14ac:dyDescent="0.35">
      <c r="A950" s="4">
        <v>202420</v>
      </c>
      <c r="B950" s="5" t="s">
        <v>1087</v>
      </c>
    </row>
    <row r="951" spans="1:2" x14ac:dyDescent="0.35">
      <c r="A951" s="4">
        <v>202421</v>
      </c>
      <c r="B951" s="5" t="s">
        <v>1088</v>
      </c>
    </row>
    <row r="952" spans="1:2" x14ac:dyDescent="0.35">
      <c r="A952" s="4">
        <v>202422</v>
      </c>
      <c r="B952" s="5" t="s">
        <v>1089</v>
      </c>
    </row>
    <row r="953" spans="1:2" x14ac:dyDescent="0.35">
      <c r="A953" s="4">
        <v>202423</v>
      </c>
      <c r="B953" s="5" t="s">
        <v>1090</v>
      </c>
    </row>
    <row r="954" spans="1:2" x14ac:dyDescent="0.35">
      <c r="A954" s="4">
        <v>202430</v>
      </c>
      <c r="B954" s="5" t="s">
        <v>1091</v>
      </c>
    </row>
    <row r="955" spans="1:2" x14ac:dyDescent="0.35">
      <c r="A955" s="4">
        <v>202431</v>
      </c>
      <c r="B955" s="5" t="s">
        <v>1092</v>
      </c>
    </row>
    <row r="956" spans="1:2" x14ac:dyDescent="0.35">
      <c r="A956" s="4">
        <v>202432</v>
      </c>
      <c r="B956" s="5" t="s">
        <v>1093</v>
      </c>
    </row>
    <row r="957" spans="1:2" x14ac:dyDescent="0.35">
      <c r="A957" s="4">
        <v>202440</v>
      </c>
      <c r="B957" s="5" t="s">
        <v>1094</v>
      </c>
    </row>
    <row r="958" spans="1:2" x14ac:dyDescent="0.35">
      <c r="A958" s="4">
        <v>202450</v>
      </c>
      <c r="B958" s="5" t="s">
        <v>1095</v>
      </c>
    </row>
    <row r="959" spans="1:2" x14ac:dyDescent="0.35">
      <c r="A959" s="4">
        <v>202460</v>
      </c>
      <c r="B959" s="5" t="s">
        <v>1096</v>
      </c>
    </row>
    <row r="960" spans="1:2" x14ac:dyDescent="0.35">
      <c r="A960" s="4">
        <v>202470</v>
      </c>
      <c r="B960" s="5" t="s">
        <v>1097</v>
      </c>
    </row>
    <row r="961" spans="1:2" x14ac:dyDescent="0.35">
      <c r="A961" s="4">
        <v>202480</v>
      </c>
      <c r="B961" s="5" t="s">
        <v>1098</v>
      </c>
    </row>
    <row r="962" spans="1:2" x14ac:dyDescent="0.35">
      <c r="A962" s="4">
        <v>202490</v>
      </c>
      <c r="B962" s="5" t="s">
        <v>1099</v>
      </c>
    </row>
    <row r="963" spans="1:2" x14ac:dyDescent="0.35">
      <c r="A963" s="4">
        <v>202500</v>
      </c>
      <c r="B963" s="5" t="s">
        <v>1100</v>
      </c>
    </row>
    <row r="964" spans="1:2" x14ac:dyDescent="0.35">
      <c r="A964" s="4">
        <v>202510</v>
      </c>
      <c r="B964" s="5" t="s">
        <v>1101</v>
      </c>
    </row>
    <row r="965" spans="1:2" x14ac:dyDescent="0.35">
      <c r="A965" s="4">
        <v>202520</v>
      </c>
      <c r="B965" s="5" t="s">
        <v>1102</v>
      </c>
    </row>
    <row r="966" spans="1:2" x14ac:dyDescent="0.35">
      <c r="A966" s="4">
        <v>202530</v>
      </c>
      <c r="B966" s="5" t="s">
        <v>1103</v>
      </c>
    </row>
    <row r="967" spans="1:2" x14ac:dyDescent="0.35">
      <c r="A967" s="4">
        <v>202540</v>
      </c>
      <c r="B967" s="5" t="s">
        <v>1104</v>
      </c>
    </row>
    <row r="968" spans="1:2" x14ac:dyDescent="0.35">
      <c r="A968" s="4">
        <v>202550</v>
      </c>
      <c r="B968" s="5" t="s">
        <v>1105</v>
      </c>
    </row>
    <row r="969" spans="1:2" x14ac:dyDescent="0.35">
      <c r="A969" s="4">
        <v>202600</v>
      </c>
      <c r="B969" s="5" t="s">
        <v>1106</v>
      </c>
    </row>
    <row r="970" spans="1:2" x14ac:dyDescent="0.35">
      <c r="A970" s="4">
        <v>202700</v>
      </c>
      <c r="B970" s="5" t="s">
        <v>1107</v>
      </c>
    </row>
    <row r="971" spans="1:2" x14ac:dyDescent="0.35">
      <c r="A971" s="4">
        <v>202900</v>
      </c>
      <c r="B971" s="5" t="s">
        <v>1108</v>
      </c>
    </row>
    <row r="972" spans="1:2" x14ac:dyDescent="0.35">
      <c r="A972" s="4">
        <v>203000</v>
      </c>
      <c r="B972" s="5" t="s">
        <v>1109</v>
      </c>
    </row>
    <row r="973" spans="1:2" x14ac:dyDescent="0.35">
      <c r="A973" s="4">
        <v>203100</v>
      </c>
      <c r="B973" s="5" t="s">
        <v>1110</v>
      </c>
    </row>
    <row r="974" spans="1:2" x14ac:dyDescent="0.35">
      <c r="A974" s="4">
        <v>203200</v>
      </c>
      <c r="B974" s="5" t="s">
        <v>1111</v>
      </c>
    </row>
    <row r="975" spans="1:2" x14ac:dyDescent="0.35">
      <c r="A975" s="4">
        <v>203210</v>
      </c>
      <c r="B975" s="5" t="s">
        <v>1112</v>
      </c>
    </row>
    <row r="976" spans="1:2" x14ac:dyDescent="0.35">
      <c r="A976" s="4">
        <v>203300</v>
      </c>
      <c r="B976" s="5" t="s">
        <v>1113</v>
      </c>
    </row>
    <row r="977" spans="1:2" x14ac:dyDescent="0.35">
      <c r="A977" s="4">
        <v>203310</v>
      </c>
      <c r="B977" s="5" t="s">
        <v>1114</v>
      </c>
    </row>
    <row r="978" spans="1:2" x14ac:dyDescent="0.35">
      <c r="A978" s="4">
        <v>203400</v>
      </c>
      <c r="B978" s="5" t="s">
        <v>1115</v>
      </c>
    </row>
    <row r="979" spans="1:2" x14ac:dyDescent="0.35">
      <c r="A979" s="4">
        <v>203500</v>
      </c>
      <c r="B979" s="5" t="s">
        <v>1116</v>
      </c>
    </row>
    <row r="980" spans="1:2" x14ac:dyDescent="0.35">
      <c r="A980" s="4">
        <v>203510</v>
      </c>
      <c r="B980" s="5" t="s">
        <v>1117</v>
      </c>
    </row>
    <row r="981" spans="1:2" x14ac:dyDescent="0.35">
      <c r="A981" s="4">
        <v>203600</v>
      </c>
      <c r="B981" s="5" t="s">
        <v>1118</v>
      </c>
    </row>
    <row r="982" spans="1:2" x14ac:dyDescent="0.35">
      <c r="A982" s="4">
        <v>203700</v>
      </c>
      <c r="B982" s="5" t="s">
        <v>1119</v>
      </c>
    </row>
    <row r="983" spans="1:2" x14ac:dyDescent="0.35">
      <c r="A983" s="4">
        <v>203710</v>
      </c>
      <c r="B983" s="5" t="s">
        <v>1120</v>
      </c>
    </row>
    <row r="984" spans="1:2" x14ac:dyDescent="0.35">
      <c r="A984" s="4">
        <v>203720</v>
      </c>
      <c r="B984" s="5" t="s">
        <v>1121</v>
      </c>
    </row>
    <row r="985" spans="1:2" x14ac:dyDescent="0.35">
      <c r="A985" s="4">
        <v>203730</v>
      </c>
      <c r="B985" s="5" t="s">
        <v>1122</v>
      </c>
    </row>
    <row r="986" spans="1:2" x14ac:dyDescent="0.35">
      <c r="A986" s="4">
        <v>203750</v>
      </c>
      <c r="B986" s="5" t="s">
        <v>1123</v>
      </c>
    </row>
    <row r="987" spans="1:2" x14ac:dyDescent="0.35">
      <c r="A987" s="4">
        <v>203751</v>
      </c>
      <c r="B987" s="5" t="s">
        <v>1124</v>
      </c>
    </row>
    <row r="988" spans="1:2" x14ac:dyDescent="0.35">
      <c r="A988" s="4">
        <v>203800</v>
      </c>
      <c r="B988" s="5" t="s">
        <v>1125</v>
      </c>
    </row>
    <row r="989" spans="1:2" x14ac:dyDescent="0.35">
      <c r="A989" s="4">
        <v>203810</v>
      </c>
      <c r="B989" s="5" t="s">
        <v>1126</v>
      </c>
    </row>
    <row r="990" spans="1:2" x14ac:dyDescent="0.35">
      <c r="A990" s="4">
        <v>203900</v>
      </c>
      <c r="B990" s="5" t="s">
        <v>1127</v>
      </c>
    </row>
    <row r="991" spans="1:2" x14ac:dyDescent="0.35">
      <c r="A991" s="4">
        <v>203901</v>
      </c>
      <c r="B991" s="5" t="s">
        <v>1128</v>
      </c>
    </row>
    <row r="992" spans="1:2" x14ac:dyDescent="0.35">
      <c r="A992" s="4">
        <v>204200</v>
      </c>
      <c r="B992" s="5" t="s">
        <v>1129</v>
      </c>
    </row>
    <row r="993" spans="1:2" x14ac:dyDescent="0.35">
      <c r="A993" s="4">
        <v>204210</v>
      </c>
      <c r="B993" s="5" t="s">
        <v>1130</v>
      </c>
    </row>
    <row r="994" spans="1:2" x14ac:dyDescent="0.35">
      <c r="A994" s="4">
        <v>204220</v>
      </c>
      <c r="B994" s="5" t="s">
        <v>1131</v>
      </c>
    </row>
    <row r="995" spans="1:2" x14ac:dyDescent="0.35">
      <c r="A995" s="4">
        <v>204230</v>
      </c>
      <c r="B995" s="5" t="s">
        <v>1132</v>
      </c>
    </row>
    <row r="996" spans="1:2" x14ac:dyDescent="0.35">
      <c r="A996" s="4">
        <v>204240</v>
      </c>
      <c r="B996" s="5" t="s">
        <v>1133</v>
      </c>
    </row>
    <row r="997" spans="1:2" x14ac:dyDescent="0.35">
      <c r="A997" s="4">
        <v>204241</v>
      </c>
      <c r="B997" s="5" t="s">
        <v>1134</v>
      </c>
    </row>
    <row r="998" spans="1:2" x14ac:dyDescent="0.35">
      <c r="A998" s="4">
        <v>204242</v>
      </c>
      <c r="B998" s="5" t="s">
        <v>1135</v>
      </c>
    </row>
    <row r="999" spans="1:2" x14ac:dyDescent="0.35">
      <c r="A999" s="4">
        <v>204250</v>
      </c>
      <c r="B999" s="5" t="s">
        <v>1136</v>
      </c>
    </row>
    <row r="1000" spans="1:2" x14ac:dyDescent="0.35">
      <c r="A1000" s="4">
        <v>204260</v>
      </c>
      <c r="B1000" s="5" t="s">
        <v>1137</v>
      </c>
    </row>
    <row r="1001" spans="1:2" x14ac:dyDescent="0.35">
      <c r="A1001" s="4">
        <v>204270</v>
      </c>
      <c r="B1001" s="5" t="s">
        <v>1138</v>
      </c>
    </row>
    <row r="1002" spans="1:2" x14ac:dyDescent="0.35">
      <c r="A1002" s="4">
        <v>204280</v>
      </c>
      <c r="B1002" s="5" t="s">
        <v>1139</v>
      </c>
    </row>
    <row r="1003" spans="1:2" x14ac:dyDescent="0.35">
      <c r="A1003" s="4">
        <v>204300</v>
      </c>
      <c r="B1003" s="5" t="s">
        <v>1140</v>
      </c>
    </row>
    <row r="1004" spans="1:2" x14ac:dyDescent="0.35">
      <c r="A1004" s="4">
        <v>204310</v>
      </c>
      <c r="B1004" s="5" t="s">
        <v>1141</v>
      </c>
    </row>
    <row r="1005" spans="1:2" x14ac:dyDescent="0.35">
      <c r="A1005" s="4">
        <v>204320</v>
      </c>
      <c r="B1005" s="5" t="s">
        <v>1142</v>
      </c>
    </row>
    <row r="1006" spans="1:2" x14ac:dyDescent="0.35">
      <c r="A1006" s="4">
        <v>204330</v>
      </c>
      <c r="B1006" s="5" t="s">
        <v>1143</v>
      </c>
    </row>
    <row r="1007" spans="1:2" x14ac:dyDescent="0.35">
      <c r="A1007" s="4">
        <v>204340</v>
      </c>
      <c r="B1007" s="5" t="s">
        <v>1144</v>
      </c>
    </row>
    <row r="1008" spans="1:2" x14ac:dyDescent="0.35">
      <c r="A1008" s="4">
        <v>204350</v>
      </c>
      <c r="B1008" s="5" t="s">
        <v>1145</v>
      </c>
    </row>
    <row r="1009" spans="1:2" x14ac:dyDescent="0.35">
      <c r="A1009" s="4">
        <v>204360</v>
      </c>
      <c r="B1009" s="5" t="s">
        <v>1146</v>
      </c>
    </row>
    <row r="1010" spans="1:2" x14ac:dyDescent="0.35">
      <c r="A1010" s="4">
        <v>204400</v>
      </c>
      <c r="B1010" s="5" t="s">
        <v>1147</v>
      </c>
    </row>
    <row r="1011" spans="1:2" x14ac:dyDescent="0.35">
      <c r="A1011" s="4">
        <v>204500</v>
      </c>
      <c r="B1011" s="5" t="s">
        <v>1148</v>
      </c>
    </row>
    <row r="1012" spans="1:2" x14ac:dyDescent="0.35">
      <c r="A1012" s="4">
        <v>204800</v>
      </c>
      <c r="B1012" s="5" t="s">
        <v>1149</v>
      </c>
    </row>
    <row r="1013" spans="1:2" x14ac:dyDescent="0.35">
      <c r="A1013" s="4">
        <v>204810</v>
      </c>
      <c r="B1013" s="5" t="s">
        <v>1150</v>
      </c>
    </row>
    <row r="1014" spans="1:2" x14ac:dyDescent="0.35">
      <c r="A1014" s="4">
        <v>204820</v>
      </c>
      <c r="B1014" s="5" t="s">
        <v>1151</v>
      </c>
    </row>
    <row r="1015" spans="1:2" x14ac:dyDescent="0.35">
      <c r="A1015" s="4">
        <v>204830</v>
      </c>
      <c r="B1015" s="5" t="s">
        <v>1152</v>
      </c>
    </row>
    <row r="1016" spans="1:2" x14ac:dyDescent="0.35">
      <c r="A1016" s="4">
        <v>204900</v>
      </c>
      <c r="B1016" s="5" t="s">
        <v>1153</v>
      </c>
    </row>
    <row r="1017" spans="1:2" x14ac:dyDescent="0.35">
      <c r="A1017" s="4">
        <v>205000</v>
      </c>
      <c r="B1017" s="5" t="s">
        <v>1154</v>
      </c>
    </row>
    <row r="1018" spans="1:2" x14ac:dyDescent="0.35">
      <c r="A1018" s="4">
        <v>205100</v>
      </c>
      <c r="B1018" s="5" t="s">
        <v>1155</v>
      </c>
    </row>
    <row r="1019" spans="1:2" x14ac:dyDescent="0.35">
      <c r="A1019" s="4">
        <v>205200</v>
      </c>
      <c r="B1019" s="5" t="s">
        <v>1156</v>
      </c>
    </row>
    <row r="1020" spans="1:2" x14ac:dyDescent="0.35">
      <c r="A1020" s="4">
        <v>205300</v>
      </c>
      <c r="B1020" s="5" t="s">
        <v>1157</v>
      </c>
    </row>
    <row r="1021" spans="1:2" x14ac:dyDescent="0.35">
      <c r="A1021" s="4">
        <v>206000</v>
      </c>
      <c r="B1021" s="5" t="s">
        <v>1158</v>
      </c>
    </row>
    <row r="1022" spans="1:2" x14ac:dyDescent="0.35">
      <c r="A1022" s="4">
        <v>206100</v>
      </c>
      <c r="B1022" s="5" t="s">
        <v>1159</v>
      </c>
    </row>
    <row r="1023" spans="1:2" x14ac:dyDescent="0.35">
      <c r="A1023" s="4">
        <v>206200</v>
      </c>
      <c r="B1023" s="5" t="s">
        <v>1160</v>
      </c>
    </row>
    <row r="1024" spans="1:2" x14ac:dyDescent="0.35">
      <c r="A1024" s="4">
        <v>206300</v>
      </c>
      <c r="B1024" s="5" t="s">
        <v>1161</v>
      </c>
    </row>
    <row r="1025" spans="1:2" x14ac:dyDescent="0.35">
      <c r="A1025" s="4">
        <v>206400</v>
      </c>
      <c r="B1025" s="5" t="s">
        <v>1162</v>
      </c>
    </row>
    <row r="1026" spans="1:2" x14ac:dyDescent="0.35">
      <c r="A1026" s="4">
        <v>206410</v>
      </c>
      <c r="B1026" s="5" t="s">
        <v>1163</v>
      </c>
    </row>
    <row r="1027" spans="1:2" x14ac:dyDescent="0.35">
      <c r="A1027" s="4">
        <v>206420</v>
      </c>
      <c r="B1027" s="5" t="s">
        <v>1164</v>
      </c>
    </row>
    <row r="1028" spans="1:2" x14ac:dyDescent="0.35">
      <c r="A1028" s="4">
        <v>206500</v>
      </c>
      <c r="B1028" s="5" t="s">
        <v>1165</v>
      </c>
    </row>
    <row r="1029" spans="1:2" x14ac:dyDescent="0.35">
      <c r="A1029" s="4">
        <v>206590</v>
      </c>
      <c r="B1029" s="5" t="s">
        <v>1166</v>
      </c>
    </row>
    <row r="1030" spans="1:2" x14ac:dyDescent="0.35">
      <c r="A1030" s="4">
        <v>206600</v>
      </c>
      <c r="B1030" s="5" t="s">
        <v>1167</v>
      </c>
    </row>
    <row r="1031" spans="1:2" x14ac:dyDescent="0.35">
      <c r="A1031" s="4">
        <v>206700</v>
      </c>
      <c r="B1031" s="5" t="s">
        <v>1168</v>
      </c>
    </row>
    <row r="1032" spans="1:2" x14ac:dyDescent="0.35">
      <c r="A1032" s="4">
        <v>206710</v>
      </c>
      <c r="B1032" s="5" t="s">
        <v>1169</v>
      </c>
    </row>
    <row r="1033" spans="1:2" x14ac:dyDescent="0.35">
      <c r="A1033" s="4">
        <v>206800</v>
      </c>
      <c r="B1033" s="5" t="s">
        <v>1170</v>
      </c>
    </row>
    <row r="1034" spans="1:2" x14ac:dyDescent="0.35">
      <c r="A1034" s="4">
        <v>207000</v>
      </c>
      <c r="B1034" s="5" t="s">
        <v>1171</v>
      </c>
    </row>
    <row r="1035" spans="1:2" x14ac:dyDescent="0.35">
      <c r="A1035" s="4">
        <v>207100</v>
      </c>
      <c r="B1035" s="5" t="s">
        <v>1172</v>
      </c>
    </row>
    <row r="1036" spans="1:2" x14ac:dyDescent="0.35">
      <c r="A1036" s="4">
        <v>208900</v>
      </c>
      <c r="B1036" s="5" t="s">
        <v>1173</v>
      </c>
    </row>
    <row r="1037" spans="1:2" x14ac:dyDescent="0.35">
      <c r="A1037" s="4">
        <v>209000</v>
      </c>
      <c r="B1037" s="5" t="s">
        <v>1174</v>
      </c>
    </row>
    <row r="1038" spans="1:2" x14ac:dyDescent="0.35">
      <c r="A1038" s="4">
        <v>209100</v>
      </c>
      <c r="B1038" s="5" t="s">
        <v>1175</v>
      </c>
    </row>
    <row r="1039" spans="1:2" x14ac:dyDescent="0.35">
      <c r="A1039" s="4">
        <v>209110</v>
      </c>
      <c r="B1039" s="5" t="s">
        <v>1176</v>
      </c>
    </row>
    <row r="1040" spans="1:2" x14ac:dyDescent="0.35">
      <c r="A1040" s="4">
        <v>209120</v>
      </c>
      <c r="B1040" s="5" t="s">
        <v>1177</v>
      </c>
    </row>
    <row r="1041" spans="1:2" x14ac:dyDescent="0.35">
      <c r="A1041" s="4">
        <v>209121</v>
      </c>
      <c r="B1041" s="5" t="s">
        <v>1178</v>
      </c>
    </row>
    <row r="1042" spans="1:2" x14ac:dyDescent="0.35">
      <c r="A1042" s="4">
        <v>209130</v>
      </c>
      <c r="B1042" s="5" t="s">
        <v>1179</v>
      </c>
    </row>
    <row r="1043" spans="1:2" x14ac:dyDescent="0.35">
      <c r="A1043" s="4">
        <v>209900</v>
      </c>
      <c r="B1043" s="5" t="s">
        <v>1180</v>
      </c>
    </row>
    <row r="1044" spans="1:2" x14ac:dyDescent="0.35">
      <c r="A1044" s="4">
        <v>210000</v>
      </c>
      <c r="B1044" s="5" t="s">
        <v>1181</v>
      </c>
    </row>
    <row r="1045" spans="1:2" x14ac:dyDescent="0.35">
      <c r="A1045" s="4">
        <v>210040</v>
      </c>
      <c r="B1045" s="5" t="s">
        <v>1182</v>
      </c>
    </row>
    <row r="1046" spans="1:2" x14ac:dyDescent="0.35">
      <c r="A1046" s="4">
        <v>210050</v>
      </c>
      <c r="B1046" s="5" t="s">
        <v>1183</v>
      </c>
    </row>
    <row r="1047" spans="1:2" x14ac:dyDescent="0.35">
      <c r="A1047" s="4">
        <v>210100</v>
      </c>
      <c r="B1047" s="5" t="s">
        <v>1184</v>
      </c>
    </row>
    <row r="1048" spans="1:2" x14ac:dyDescent="0.35">
      <c r="A1048" s="4">
        <v>210150</v>
      </c>
      <c r="B1048" s="5" t="s">
        <v>1185</v>
      </c>
    </row>
    <row r="1049" spans="1:2" x14ac:dyDescent="0.35">
      <c r="A1049" s="4">
        <v>211000</v>
      </c>
      <c r="B1049" s="5" t="s">
        <v>1186</v>
      </c>
    </row>
    <row r="1050" spans="1:2" x14ac:dyDescent="0.35">
      <c r="A1050" s="4">
        <v>211200</v>
      </c>
      <c r="B1050" s="5" t="s">
        <v>1187</v>
      </c>
    </row>
    <row r="1051" spans="1:2" x14ac:dyDescent="0.35">
      <c r="A1051" s="4">
        <v>211300</v>
      </c>
      <c r="B1051" s="5" t="s">
        <v>1188</v>
      </c>
    </row>
    <row r="1052" spans="1:2" x14ac:dyDescent="0.35">
      <c r="A1052" s="4">
        <v>211400</v>
      </c>
      <c r="B1052" s="5" t="s">
        <v>1189</v>
      </c>
    </row>
    <row r="1053" spans="1:2" x14ac:dyDescent="0.35">
      <c r="A1053" s="4">
        <v>211500</v>
      </c>
      <c r="B1053" s="5" t="s">
        <v>1190</v>
      </c>
    </row>
    <row r="1054" spans="1:2" x14ac:dyDescent="0.35">
      <c r="A1054" s="4">
        <v>211600</v>
      </c>
      <c r="B1054" s="5" t="s">
        <v>1191</v>
      </c>
    </row>
    <row r="1055" spans="1:2" x14ac:dyDescent="0.35">
      <c r="A1055" s="4">
        <v>211610</v>
      </c>
      <c r="B1055" s="5" t="s">
        <v>1192</v>
      </c>
    </row>
    <row r="1056" spans="1:2" x14ac:dyDescent="0.35">
      <c r="A1056" s="4">
        <v>211620</v>
      </c>
      <c r="B1056" s="5" t="s">
        <v>1193</v>
      </c>
    </row>
    <row r="1057" spans="1:2" x14ac:dyDescent="0.35">
      <c r="A1057" s="4">
        <v>211630</v>
      </c>
      <c r="B1057" s="5" t="s">
        <v>1194</v>
      </c>
    </row>
    <row r="1058" spans="1:2" x14ac:dyDescent="0.35">
      <c r="A1058" s="4">
        <v>211690</v>
      </c>
      <c r="B1058" s="5" t="s">
        <v>1195</v>
      </c>
    </row>
    <row r="1059" spans="1:2" x14ac:dyDescent="0.35">
      <c r="A1059" s="4">
        <v>211700</v>
      </c>
      <c r="B1059" s="5" t="s">
        <v>1196</v>
      </c>
    </row>
    <row r="1060" spans="1:2" x14ac:dyDescent="0.35">
      <c r="A1060" s="4">
        <v>211710</v>
      </c>
      <c r="B1060" s="5" t="s">
        <v>1197</v>
      </c>
    </row>
    <row r="1061" spans="1:2" x14ac:dyDescent="0.35">
      <c r="A1061" s="4">
        <v>211711</v>
      </c>
      <c r="B1061" s="5" t="s">
        <v>1198</v>
      </c>
    </row>
    <row r="1062" spans="1:2" x14ac:dyDescent="0.35">
      <c r="A1062" s="4">
        <v>211712</v>
      </c>
      <c r="B1062" s="5" t="s">
        <v>1199</v>
      </c>
    </row>
    <row r="1063" spans="1:2" x14ac:dyDescent="0.35">
      <c r="A1063" s="4">
        <v>211713</v>
      </c>
      <c r="B1063" s="5" t="s">
        <v>1200</v>
      </c>
    </row>
    <row r="1064" spans="1:2" x14ac:dyDescent="0.35">
      <c r="A1064" s="4">
        <v>211714</v>
      </c>
      <c r="B1064" s="5" t="s">
        <v>1201</v>
      </c>
    </row>
    <row r="1065" spans="1:2" x14ac:dyDescent="0.35">
      <c r="A1065" s="4">
        <v>211715</v>
      </c>
      <c r="B1065" s="5" t="s">
        <v>1202</v>
      </c>
    </row>
    <row r="1066" spans="1:2" x14ac:dyDescent="0.35">
      <c r="A1066" s="4">
        <v>211716</v>
      </c>
      <c r="B1066" s="5" t="s">
        <v>1203</v>
      </c>
    </row>
    <row r="1067" spans="1:2" x14ac:dyDescent="0.35">
      <c r="A1067" s="4">
        <v>211717</v>
      </c>
      <c r="B1067" s="5" t="s">
        <v>1204</v>
      </c>
    </row>
    <row r="1068" spans="1:2" x14ac:dyDescent="0.35">
      <c r="A1068" s="4">
        <v>211718</v>
      </c>
      <c r="B1068" s="5" t="s">
        <v>1205</v>
      </c>
    </row>
    <row r="1069" spans="1:2" x14ac:dyDescent="0.35">
      <c r="A1069" s="4">
        <v>211719</v>
      </c>
      <c r="B1069" s="5" t="s">
        <v>1206</v>
      </c>
    </row>
    <row r="1070" spans="1:2" x14ac:dyDescent="0.35">
      <c r="A1070" s="4">
        <v>211720</v>
      </c>
      <c r="B1070" s="5" t="s">
        <v>1207</v>
      </c>
    </row>
    <row r="1071" spans="1:2" x14ac:dyDescent="0.35">
      <c r="A1071" s="4">
        <v>211721</v>
      </c>
      <c r="B1071" s="5" t="s">
        <v>1208</v>
      </c>
    </row>
    <row r="1072" spans="1:2" x14ac:dyDescent="0.35">
      <c r="A1072" s="4">
        <v>211722</v>
      </c>
      <c r="B1072" s="5" t="s">
        <v>1209</v>
      </c>
    </row>
    <row r="1073" spans="1:2" x14ac:dyDescent="0.35">
      <c r="A1073" s="4">
        <v>211723</v>
      </c>
      <c r="B1073" s="5" t="s">
        <v>1210</v>
      </c>
    </row>
    <row r="1074" spans="1:2" x14ac:dyDescent="0.35">
      <c r="A1074" s="4">
        <v>211724</v>
      </c>
      <c r="B1074" s="5" t="s">
        <v>1211</v>
      </c>
    </row>
    <row r="1075" spans="1:2" x14ac:dyDescent="0.35">
      <c r="A1075" s="4">
        <v>211730</v>
      </c>
      <c r="B1075" s="5" t="s">
        <v>1212</v>
      </c>
    </row>
    <row r="1076" spans="1:2" x14ac:dyDescent="0.35">
      <c r="A1076" s="4">
        <v>211731</v>
      </c>
      <c r="B1076" s="5" t="s">
        <v>1213</v>
      </c>
    </row>
    <row r="1077" spans="1:2" x14ac:dyDescent="0.35">
      <c r="A1077" s="4">
        <v>211732</v>
      </c>
      <c r="B1077" s="5" t="s">
        <v>1214</v>
      </c>
    </row>
    <row r="1078" spans="1:2" x14ac:dyDescent="0.35">
      <c r="A1078" s="4">
        <v>211733</v>
      </c>
      <c r="B1078" s="5" t="s">
        <v>1215</v>
      </c>
    </row>
    <row r="1079" spans="1:2" x14ac:dyDescent="0.35">
      <c r="A1079" s="4">
        <v>211740</v>
      </c>
      <c r="B1079" s="5" t="s">
        <v>1216</v>
      </c>
    </row>
    <row r="1080" spans="1:2" x14ac:dyDescent="0.35">
      <c r="A1080" s="4">
        <v>211750</v>
      </c>
      <c r="B1080" s="5" t="s">
        <v>1217</v>
      </c>
    </row>
    <row r="1081" spans="1:2" x14ac:dyDescent="0.35">
      <c r="A1081" s="4">
        <v>211760</v>
      </c>
      <c r="B1081" s="5" t="s">
        <v>1218</v>
      </c>
    </row>
    <row r="1082" spans="1:2" x14ac:dyDescent="0.35">
      <c r="A1082" s="4">
        <v>211770</v>
      </c>
      <c r="B1082" s="5" t="s">
        <v>1219</v>
      </c>
    </row>
    <row r="1083" spans="1:2" x14ac:dyDescent="0.35">
      <c r="A1083" s="4">
        <v>211780</v>
      </c>
      <c r="B1083" s="5" t="s">
        <v>1220</v>
      </c>
    </row>
    <row r="1084" spans="1:2" x14ac:dyDescent="0.35">
      <c r="A1084" s="4">
        <v>211790</v>
      </c>
      <c r="B1084" s="5" t="s">
        <v>86</v>
      </c>
    </row>
    <row r="1085" spans="1:2" x14ac:dyDescent="0.35">
      <c r="A1085" s="4">
        <v>211791</v>
      </c>
      <c r="B1085" s="5" t="s">
        <v>1221</v>
      </c>
    </row>
    <row r="1086" spans="1:2" x14ac:dyDescent="0.35">
      <c r="A1086" s="4">
        <v>211792</v>
      </c>
      <c r="B1086" s="5" t="s">
        <v>1222</v>
      </c>
    </row>
    <row r="1087" spans="1:2" x14ac:dyDescent="0.35">
      <c r="A1087" s="4">
        <v>211800</v>
      </c>
      <c r="B1087" s="5" t="s">
        <v>1223</v>
      </c>
    </row>
    <row r="1088" spans="1:2" x14ac:dyDescent="0.35">
      <c r="A1088" s="4">
        <v>211810</v>
      </c>
      <c r="B1088" s="5" t="s">
        <v>1224</v>
      </c>
    </row>
    <row r="1089" spans="1:2" x14ac:dyDescent="0.35">
      <c r="A1089" s="4">
        <v>211820</v>
      </c>
      <c r="B1089" s="5" t="s">
        <v>1225</v>
      </c>
    </row>
    <row r="1090" spans="1:2" x14ac:dyDescent="0.35">
      <c r="A1090" s="4">
        <v>211880</v>
      </c>
      <c r="B1090" s="5" t="s">
        <v>1226</v>
      </c>
    </row>
    <row r="1091" spans="1:2" x14ac:dyDescent="0.35">
      <c r="A1091" s="4">
        <v>211881</v>
      </c>
      <c r="B1091" s="5" t="s">
        <v>1227</v>
      </c>
    </row>
    <row r="1092" spans="1:2" x14ac:dyDescent="0.35">
      <c r="A1092" s="4">
        <v>211882</v>
      </c>
      <c r="B1092" s="5" t="s">
        <v>1228</v>
      </c>
    </row>
    <row r="1093" spans="1:2" x14ac:dyDescent="0.35">
      <c r="A1093" s="4">
        <v>211890</v>
      </c>
      <c r="B1093" s="5" t="s">
        <v>1229</v>
      </c>
    </row>
    <row r="1094" spans="1:2" x14ac:dyDescent="0.35">
      <c r="A1094" s="4">
        <v>211891</v>
      </c>
      <c r="B1094" s="5" t="s">
        <v>1230</v>
      </c>
    </row>
    <row r="1095" spans="1:2" x14ac:dyDescent="0.35">
      <c r="A1095" s="4">
        <v>211892</v>
      </c>
      <c r="B1095" s="5" t="s">
        <v>1231</v>
      </c>
    </row>
    <row r="1096" spans="1:2" x14ac:dyDescent="0.35">
      <c r="A1096" s="4">
        <v>211893</v>
      </c>
      <c r="B1096" s="5" t="s">
        <v>1232</v>
      </c>
    </row>
    <row r="1097" spans="1:2" x14ac:dyDescent="0.35">
      <c r="A1097" s="4">
        <v>211894</v>
      </c>
      <c r="B1097" s="5" t="s">
        <v>1233</v>
      </c>
    </row>
    <row r="1098" spans="1:2" x14ac:dyDescent="0.35">
      <c r="A1098" s="4">
        <v>211900</v>
      </c>
      <c r="B1098" s="5" t="s">
        <v>1234</v>
      </c>
    </row>
    <row r="1099" spans="1:2" x14ac:dyDescent="0.35">
      <c r="A1099" s="4">
        <v>211910</v>
      </c>
      <c r="B1099" s="5" t="s">
        <v>1235</v>
      </c>
    </row>
    <row r="1100" spans="1:2" x14ac:dyDescent="0.35">
      <c r="A1100" s="4">
        <v>211911</v>
      </c>
      <c r="B1100" s="5" t="s">
        <v>1236</v>
      </c>
    </row>
    <row r="1101" spans="1:2" x14ac:dyDescent="0.35">
      <c r="A1101" s="4">
        <v>211912</v>
      </c>
      <c r="B1101" s="5" t="s">
        <v>1237</v>
      </c>
    </row>
    <row r="1102" spans="1:2" x14ac:dyDescent="0.35">
      <c r="A1102" s="4">
        <v>211913</v>
      </c>
      <c r="B1102" s="5" t="s">
        <v>1238</v>
      </c>
    </row>
    <row r="1103" spans="1:2" x14ac:dyDescent="0.35">
      <c r="A1103" s="4">
        <v>211914</v>
      </c>
      <c r="B1103" s="5" t="s">
        <v>1239</v>
      </c>
    </row>
    <row r="1104" spans="1:2" x14ac:dyDescent="0.35">
      <c r="A1104" s="4">
        <v>211915</v>
      </c>
      <c r="B1104" s="5" t="s">
        <v>1240</v>
      </c>
    </row>
    <row r="1105" spans="1:2" x14ac:dyDescent="0.35">
      <c r="A1105" s="4">
        <v>211916</v>
      </c>
      <c r="B1105" s="5" t="s">
        <v>1241</v>
      </c>
    </row>
    <row r="1106" spans="1:2" x14ac:dyDescent="0.35">
      <c r="A1106" s="4">
        <v>211917</v>
      </c>
      <c r="B1106" s="5" t="s">
        <v>1242</v>
      </c>
    </row>
    <row r="1107" spans="1:2" x14ac:dyDescent="0.35">
      <c r="A1107" s="4">
        <v>211920</v>
      </c>
      <c r="B1107" s="5" t="s">
        <v>1243</v>
      </c>
    </row>
    <row r="1108" spans="1:2" x14ac:dyDescent="0.35">
      <c r="A1108" s="4">
        <v>211921</v>
      </c>
      <c r="B1108" s="5" t="s">
        <v>1244</v>
      </c>
    </row>
    <row r="1109" spans="1:2" x14ac:dyDescent="0.35">
      <c r="A1109" s="4">
        <v>211922</v>
      </c>
      <c r="B1109" s="5" t="s">
        <v>1245</v>
      </c>
    </row>
    <row r="1110" spans="1:2" x14ac:dyDescent="0.35">
      <c r="A1110" s="4">
        <v>211930</v>
      </c>
      <c r="B1110" s="5" t="s">
        <v>1246</v>
      </c>
    </row>
    <row r="1111" spans="1:2" x14ac:dyDescent="0.35">
      <c r="A1111" s="4">
        <v>211931</v>
      </c>
      <c r="B1111" s="5" t="s">
        <v>1247</v>
      </c>
    </row>
    <row r="1112" spans="1:2" x14ac:dyDescent="0.35">
      <c r="A1112" s="4">
        <v>211932</v>
      </c>
      <c r="B1112" s="5" t="s">
        <v>1248</v>
      </c>
    </row>
    <row r="1113" spans="1:2" x14ac:dyDescent="0.35">
      <c r="A1113" s="4">
        <v>211933</v>
      </c>
      <c r="B1113" s="5" t="s">
        <v>1249</v>
      </c>
    </row>
    <row r="1114" spans="1:2" x14ac:dyDescent="0.35">
      <c r="A1114" s="4">
        <v>211939</v>
      </c>
      <c r="B1114" s="5" t="s">
        <v>1250</v>
      </c>
    </row>
    <row r="1115" spans="1:2" x14ac:dyDescent="0.35">
      <c r="A1115" s="4">
        <v>211940</v>
      </c>
      <c r="B1115" s="5" t="s">
        <v>1251</v>
      </c>
    </row>
    <row r="1116" spans="1:2" x14ac:dyDescent="0.35">
      <c r="A1116" s="4">
        <v>211950</v>
      </c>
      <c r="B1116" s="5" t="s">
        <v>1252</v>
      </c>
    </row>
    <row r="1117" spans="1:2" x14ac:dyDescent="0.35">
      <c r="A1117" s="4">
        <v>211960</v>
      </c>
      <c r="B1117" s="5" t="s">
        <v>1253</v>
      </c>
    </row>
    <row r="1118" spans="1:2" x14ac:dyDescent="0.35">
      <c r="A1118" s="4">
        <v>211970</v>
      </c>
      <c r="B1118" s="5" t="s">
        <v>1254</v>
      </c>
    </row>
    <row r="1119" spans="1:2" x14ac:dyDescent="0.35">
      <c r="A1119" s="4">
        <v>211980</v>
      </c>
      <c r="B1119" s="5" t="s">
        <v>1255</v>
      </c>
    </row>
    <row r="1120" spans="1:2" x14ac:dyDescent="0.35">
      <c r="A1120" s="4">
        <v>211990</v>
      </c>
      <c r="B1120" s="5" t="s">
        <v>1256</v>
      </c>
    </row>
    <row r="1121" spans="1:2" x14ac:dyDescent="0.35">
      <c r="A1121" s="4">
        <v>212000</v>
      </c>
      <c r="B1121" s="5" t="s">
        <v>1257</v>
      </c>
    </row>
    <row r="1122" spans="1:2" x14ac:dyDescent="0.35">
      <c r="A1122" s="4">
        <v>212010</v>
      </c>
      <c r="B1122" s="5" t="s">
        <v>1258</v>
      </c>
    </row>
    <row r="1123" spans="1:2" x14ac:dyDescent="0.35">
      <c r="A1123" s="4">
        <v>212011</v>
      </c>
      <c r="B1123" s="5" t="s">
        <v>1259</v>
      </c>
    </row>
    <row r="1124" spans="1:2" x14ac:dyDescent="0.35">
      <c r="A1124" s="4">
        <v>212012</v>
      </c>
      <c r="B1124" s="5" t="s">
        <v>1260</v>
      </c>
    </row>
    <row r="1125" spans="1:2" x14ac:dyDescent="0.35">
      <c r="A1125" s="4">
        <v>212013</v>
      </c>
      <c r="B1125" s="5" t="s">
        <v>1261</v>
      </c>
    </row>
    <row r="1126" spans="1:2" x14ac:dyDescent="0.35">
      <c r="A1126" s="4">
        <v>212014</v>
      </c>
      <c r="B1126" s="5" t="s">
        <v>1262</v>
      </c>
    </row>
    <row r="1127" spans="1:2" x14ac:dyDescent="0.35">
      <c r="A1127" s="4">
        <v>212020</v>
      </c>
      <c r="B1127" s="5" t="s">
        <v>1263</v>
      </c>
    </row>
    <row r="1128" spans="1:2" x14ac:dyDescent="0.35">
      <c r="A1128" s="4">
        <v>212030</v>
      </c>
      <c r="B1128" s="5" t="s">
        <v>1264</v>
      </c>
    </row>
    <row r="1129" spans="1:2" x14ac:dyDescent="0.35">
      <c r="A1129" s="4">
        <v>212040</v>
      </c>
      <c r="B1129" s="5" t="s">
        <v>1265</v>
      </c>
    </row>
    <row r="1130" spans="1:2" x14ac:dyDescent="0.35">
      <c r="A1130" s="4">
        <v>212090</v>
      </c>
      <c r="B1130" s="5" t="s">
        <v>1266</v>
      </c>
    </row>
    <row r="1131" spans="1:2" x14ac:dyDescent="0.35">
      <c r="A1131" s="4">
        <v>212100</v>
      </c>
      <c r="B1131" s="5" t="s">
        <v>981</v>
      </c>
    </row>
    <row r="1132" spans="1:2" x14ac:dyDescent="0.35">
      <c r="A1132" s="4">
        <v>212110</v>
      </c>
      <c r="B1132" s="5" t="s">
        <v>1267</v>
      </c>
    </row>
    <row r="1133" spans="1:2" x14ac:dyDescent="0.35">
      <c r="A1133" s="4">
        <v>212111</v>
      </c>
      <c r="B1133" s="5" t="s">
        <v>1268</v>
      </c>
    </row>
    <row r="1134" spans="1:2" x14ac:dyDescent="0.35">
      <c r="A1134" s="4">
        <v>212120</v>
      </c>
      <c r="B1134" s="5" t="s">
        <v>1269</v>
      </c>
    </row>
    <row r="1135" spans="1:2" x14ac:dyDescent="0.35">
      <c r="A1135" s="4">
        <v>212162</v>
      </c>
      <c r="B1135" s="5" t="s">
        <v>1270</v>
      </c>
    </row>
    <row r="1136" spans="1:2" x14ac:dyDescent="0.35">
      <c r="A1136" s="4">
        <v>212200</v>
      </c>
      <c r="B1136" s="5" t="s">
        <v>1271</v>
      </c>
    </row>
    <row r="1137" spans="1:2" x14ac:dyDescent="0.35">
      <c r="A1137" s="4">
        <v>212210</v>
      </c>
      <c r="B1137" s="5" t="s">
        <v>1272</v>
      </c>
    </row>
    <row r="1138" spans="1:2" x14ac:dyDescent="0.35">
      <c r="A1138" s="4">
        <v>212220</v>
      </c>
      <c r="B1138" s="5" t="s">
        <v>1273</v>
      </c>
    </row>
    <row r="1139" spans="1:2" x14ac:dyDescent="0.35">
      <c r="A1139" s="4">
        <v>212300</v>
      </c>
      <c r="B1139" s="5" t="s">
        <v>1274</v>
      </c>
    </row>
    <row r="1140" spans="1:2" x14ac:dyDescent="0.35">
      <c r="A1140" s="4">
        <v>212310</v>
      </c>
      <c r="B1140" s="5" t="s">
        <v>1275</v>
      </c>
    </row>
    <row r="1141" spans="1:2" x14ac:dyDescent="0.35">
      <c r="A1141" s="4">
        <v>212400</v>
      </c>
      <c r="B1141" s="5" t="s">
        <v>1276</v>
      </c>
    </row>
    <row r="1142" spans="1:2" x14ac:dyDescent="0.35">
      <c r="A1142" s="4">
        <v>212410</v>
      </c>
      <c r="B1142" s="5" t="s">
        <v>1277</v>
      </c>
    </row>
    <row r="1143" spans="1:2" x14ac:dyDescent="0.35">
      <c r="A1143" s="4">
        <v>212411</v>
      </c>
      <c r="B1143" s="5" t="s">
        <v>1278</v>
      </c>
    </row>
    <row r="1144" spans="1:2" x14ac:dyDescent="0.35">
      <c r="A1144" s="4">
        <v>212412</v>
      </c>
      <c r="B1144" s="5" t="s">
        <v>1279</v>
      </c>
    </row>
    <row r="1145" spans="1:2" x14ac:dyDescent="0.35">
      <c r="A1145" s="4">
        <v>212420</v>
      </c>
      <c r="B1145" s="5" t="s">
        <v>1280</v>
      </c>
    </row>
    <row r="1146" spans="1:2" x14ac:dyDescent="0.35">
      <c r="A1146" s="4">
        <v>212421</v>
      </c>
      <c r="B1146" s="5" t="s">
        <v>1281</v>
      </c>
    </row>
    <row r="1147" spans="1:2" x14ac:dyDescent="0.35">
      <c r="A1147" s="4">
        <v>212430</v>
      </c>
      <c r="B1147" s="5" t="s">
        <v>1282</v>
      </c>
    </row>
    <row r="1148" spans="1:2" x14ac:dyDescent="0.35">
      <c r="A1148" s="4">
        <v>212440</v>
      </c>
      <c r="B1148" s="5" t="s">
        <v>1283</v>
      </c>
    </row>
    <row r="1149" spans="1:2" x14ac:dyDescent="0.35">
      <c r="A1149" s="4">
        <v>212450</v>
      </c>
      <c r="B1149" s="5" t="s">
        <v>1284</v>
      </c>
    </row>
    <row r="1150" spans="1:2" x14ac:dyDescent="0.35">
      <c r="A1150" s="4">
        <v>212460</v>
      </c>
      <c r="B1150" s="5" t="s">
        <v>1285</v>
      </c>
    </row>
    <row r="1151" spans="1:2" x14ac:dyDescent="0.35">
      <c r="A1151" s="4">
        <v>212490</v>
      </c>
      <c r="B1151" s="5" t="s">
        <v>1286</v>
      </c>
    </row>
    <row r="1152" spans="1:2" x14ac:dyDescent="0.35">
      <c r="A1152" s="4">
        <v>212500</v>
      </c>
      <c r="B1152" s="5" t="s">
        <v>1287</v>
      </c>
    </row>
    <row r="1153" spans="1:2" x14ac:dyDescent="0.35">
      <c r="A1153" s="4">
        <v>212510</v>
      </c>
      <c r="B1153" s="5" t="s">
        <v>1288</v>
      </c>
    </row>
    <row r="1154" spans="1:2" x14ac:dyDescent="0.35">
      <c r="A1154" s="4">
        <v>212520</v>
      </c>
      <c r="B1154" s="5" t="s">
        <v>1289</v>
      </c>
    </row>
    <row r="1155" spans="1:2" x14ac:dyDescent="0.35">
      <c r="A1155" s="4">
        <v>212530</v>
      </c>
      <c r="B1155" s="5" t="s">
        <v>1290</v>
      </c>
    </row>
    <row r="1156" spans="1:2" x14ac:dyDescent="0.35">
      <c r="A1156" s="4">
        <v>212600</v>
      </c>
      <c r="B1156" s="5" t="s">
        <v>1291</v>
      </c>
    </row>
    <row r="1157" spans="1:2" x14ac:dyDescent="0.35">
      <c r="A1157" s="4">
        <v>212610</v>
      </c>
      <c r="B1157" s="5" t="s">
        <v>1292</v>
      </c>
    </row>
    <row r="1158" spans="1:2" x14ac:dyDescent="0.35">
      <c r="A1158" s="4">
        <v>212611</v>
      </c>
      <c r="B1158" s="5" t="s">
        <v>1293</v>
      </c>
    </row>
    <row r="1159" spans="1:2" x14ac:dyDescent="0.35">
      <c r="A1159" s="4">
        <v>212620</v>
      </c>
      <c r="B1159" s="5" t="s">
        <v>1294</v>
      </c>
    </row>
    <row r="1160" spans="1:2" x14ac:dyDescent="0.35">
      <c r="A1160" s="4">
        <v>212630</v>
      </c>
      <c r="B1160" s="5" t="s">
        <v>1295</v>
      </c>
    </row>
    <row r="1161" spans="1:2" x14ac:dyDescent="0.35">
      <c r="A1161" s="4">
        <v>212640</v>
      </c>
      <c r="B1161" s="5" t="s">
        <v>1296</v>
      </c>
    </row>
    <row r="1162" spans="1:2" x14ac:dyDescent="0.35">
      <c r="A1162" s="4">
        <v>212641</v>
      </c>
      <c r="B1162" s="5" t="s">
        <v>1297</v>
      </c>
    </row>
    <row r="1163" spans="1:2" x14ac:dyDescent="0.35">
      <c r="A1163" s="4">
        <v>212650</v>
      </c>
      <c r="B1163" s="5" t="s">
        <v>1298</v>
      </c>
    </row>
    <row r="1164" spans="1:2" x14ac:dyDescent="0.35">
      <c r="A1164" s="4">
        <v>212660</v>
      </c>
      <c r="B1164" s="5" t="s">
        <v>1299</v>
      </c>
    </row>
    <row r="1165" spans="1:2" x14ac:dyDescent="0.35">
      <c r="A1165" s="4">
        <v>212670</v>
      </c>
      <c r="B1165" s="5" t="s">
        <v>1300</v>
      </c>
    </row>
    <row r="1166" spans="1:2" x14ac:dyDescent="0.35">
      <c r="A1166" s="4">
        <v>212671</v>
      </c>
      <c r="B1166" s="5" t="s">
        <v>1301</v>
      </c>
    </row>
    <row r="1167" spans="1:2" x14ac:dyDescent="0.35">
      <c r="A1167" s="4">
        <v>212680</v>
      </c>
      <c r="B1167" s="5" t="s">
        <v>1302</v>
      </c>
    </row>
    <row r="1168" spans="1:2" x14ac:dyDescent="0.35">
      <c r="A1168" s="4">
        <v>212690</v>
      </c>
      <c r="B1168" s="5" t="s">
        <v>1303</v>
      </c>
    </row>
    <row r="1169" spans="1:2" x14ac:dyDescent="0.35">
      <c r="A1169" s="4">
        <v>212700</v>
      </c>
      <c r="B1169" s="5" t="s">
        <v>1304</v>
      </c>
    </row>
    <row r="1170" spans="1:2" x14ac:dyDescent="0.35">
      <c r="A1170" s="4">
        <v>212710</v>
      </c>
      <c r="B1170" s="5" t="s">
        <v>1305</v>
      </c>
    </row>
    <row r="1171" spans="1:2" x14ac:dyDescent="0.35">
      <c r="A1171" s="4">
        <v>212720</v>
      </c>
      <c r="B1171" s="5" t="s">
        <v>1306</v>
      </c>
    </row>
    <row r="1172" spans="1:2" x14ac:dyDescent="0.35">
      <c r="A1172" s="4">
        <v>212730</v>
      </c>
      <c r="B1172" s="5" t="s">
        <v>1307</v>
      </c>
    </row>
    <row r="1173" spans="1:2" x14ac:dyDescent="0.35">
      <c r="A1173" s="4">
        <v>212800</v>
      </c>
      <c r="B1173" s="5" t="s">
        <v>1308</v>
      </c>
    </row>
    <row r="1174" spans="1:2" x14ac:dyDescent="0.35">
      <c r="A1174" s="4">
        <v>212810</v>
      </c>
      <c r="B1174" s="5" t="s">
        <v>1309</v>
      </c>
    </row>
    <row r="1175" spans="1:2" x14ac:dyDescent="0.35">
      <c r="A1175" s="4">
        <v>212820</v>
      </c>
      <c r="B1175" s="5" t="s">
        <v>1310</v>
      </c>
    </row>
    <row r="1176" spans="1:2" x14ac:dyDescent="0.35">
      <c r="A1176" s="4">
        <v>212830</v>
      </c>
      <c r="B1176" s="5" t="s">
        <v>1311</v>
      </c>
    </row>
    <row r="1177" spans="1:2" x14ac:dyDescent="0.35">
      <c r="A1177" s="4">
        <v>212900</v>
      </c>
      <c r="B1177" s="5" t="s">
        <v>1312</v>
      </c>
    </row>
    <row r="1178" spans="1:2" x14ac:dyDescent="0.35">
      <c r="A1178" s="4">
        <v>212910</v>
      </c>
      <c r="B1178" s="5" t="s">
        <v>1313</v>
      </c>
    </row>
    <row r="1179" spans="1:2" x14ac:dyDescent="0.35">
      <c r="A1179" s="4">
        <v>212920</v>
      </c>
      <c r="B1179" s="5" t="s">
        <v>1314</v>
      </c>
    </row>
    <row r="1180" spans="1:2" x14ac:dyDescent="0.35">
      <c r="A1180" s="4">
        <v>212930</v>
      </c>
      <c r="B1180" s="5" t="s">
        <v>1315</v>
      </c>
    </row>
    <row r="1181" spans="1:2" x14ac:dyDescent="0.35">
      <c r="A1181" s="4">
        <v>212940</v>
      </c>
      <c r="B1181" s="5" t="s">
        <v>1316</v>
      </c>
    </row>
    <row r="1182" spans="1:2" x14ac:dyDescent="0.35">
      <c r="A1182" s="4">
        <v>212950</v>
      </c>
      <c r="B1182" s="5" t="s">
        <v>1317</v>
      </c>
    </row>
    <row r="1183" spans="1:2" x14ac:dyDescent="0.35">
      <c r="A1183" s="4">
        <v>212951</v>
      </c>
      <c r="B1183" s="5" t="s">
        <v>1318</v>
      </c>
    </row>
    <row r="1184" spans="1:2" x14ac:dyDescent="0.35">
      <c r="A1184" s="4">
        <v>212960</v>
      </c>
      <c r="B1184" s="5" t="s">
        <v>1319</v>
      </c>
    </row>
    <row r="1185" spans="1:2" x14ac:dyDescent="0.35">
      <c r="A1185" s="4">
        <v>212970</v>
      </c>
      <c r="B1185" s="5" t="s">
        <v>1320</v>
      </c>
    </row>
    <row r="1186" spans="1:2" x14ac:dyDescent="0.35">
      <c r="A1186" s="4">
        <v>212980</v>
      </c>
      <c r="B1186" s="5" t="s">
        <v>1321</v>
      </c>
    </row>
    <row r="1187" spans="1:2" x14ac:dyDescent="0.35">
      <c r="A1187" s="4">
        <v>212990</v>
      </c>
      <c r="B1187" s="5" t="s">
        <v>1322</v>
      </c>
    </row>
    <row r="1188" spans="1:2" x14ac:dyDescent="0.35">
      <c r="A1188" s="4">
        <v>213100</v>
      </c>
      <c r="B1188" s="5" t="s">
        <v>1323</v>
      </c>
    </row>
    <row r="1189" spans="1:2" x14ac:dyDescent="0.35">
      <c r="A1189" s="4">
        <v>213110</v>
      </c>
      <c r="B1189" s="5" t="s">
        <v>1324</v>
      </c>
    </row>
    <row r="1190" spans="1:2" x14ac:dyDescent="0.35">
      <c r="A1190" s="4">
        <v>213111</v>
      </c>
      <c r="B1190" s="5" t="s">
        <v>1325</v>
      </c>
    </row>
    <row r="1191" spans="1:2" x14ac:dyDescent="0.35">
      <c r="A1191" s="4">
        <v>213112</v>
      </c>
      <c r="B1191" s="5" t="s">
        <v>1326</v>
      </c>
    </row>
    <row r="1192" spans="1:2" x14ac:dyDescent="0.35">
      <c r="A1192" s="4">
        <v>213113</v>
      </c>
      <c r="B1192" s="5" t="s">
        <v>1327</v>
      </c>
    </row>
    <row r="1193" spans="1:2" x14ac:dyDescent="0.35">
      <c r="A1193" s="4">
        <v>213114</v>
      </c>
      <c r="B1193" s="5" t="s">
        <v>1328</v>
      </c>
    </row>
    <row r="1194" spans="1:2" x14ac:dyDescent="0.35">
      <c r="A1194" s="4">
        <v>213120</v>
      </c>
      <c r="B1194" s="5" t="s">
        <v>1329</v>
      </c>
    </row>
    <row r="1195" spans="1:2" x14ac:dyDescent="0.35">
      <c r="A1195" s="4">
        <v>213190</v>
      </c>
      <c r="B1195" s="5" t="s">
        <v>1330</v>
      </c>
    </row>
    <row r="1196" spans="1:2" x14ac:dyDescent="0.35">
      <c r="A1196" s="4">
        <v>213200</v>
      </c>
      <c r="B1196" s="5" t="s">
        <v>1331</v>
      </c>
    </row>
    <row r="1197" spans="1:2" x14ac:dyDescent="0.35">
      <c r="A1197" s="4">
        <v>213210</v>
      </c>
      <c r="B1197" s="5" t="s">
        <v>1332</v>
      </c>
    </row>
    <row r="1198" spans="1:2" x14ac:dyDescent="0.35">
      <c r="A1198" s="4">
        <v>213211</v>
      </c>
      <c r="B1198" s="5" t="s">
        <v>1333</v>
      </c>
    </row>
    <row r="1199" spans="1:2" x14ac:dyDescent="0.35">
      <c r="A1199" s="4">
        <v>213212</v>
      </c>
      <c r="B1199" s="5" t="s">
        <v>1334</v>
      </c>
    </row>
    <row r="1200" spans="1:2" x14ac:dyDescent="0.35">
      <c r="A1200" s="4">
        <v>213213</v>
      </c>
      <c r="B1200" s="5" t="s">
        <v>1335</v>
      </c>
    </row>
    <row r="1201" spans="1:2" x14ac:dyDescent="0.35">
      <c r="A1201" s="4">
        <v>213214</v>
      </c>
      <c r="B1201" s="5" t="s">
        <v>1336</v>
      </c>
    </row>
    <row r="1202" spans="1:2" x14ac:dyDescent="0.35">
      <c r="A1202" s="4">
        <v>213215</v>
      </c>
      <c r="B1202" s="5" t="s">
        <v>1337</v>
      </c>
    </row>
    <row r="1203" spans="1:2" x14ac:dyDescent="0.35">
      <c r="A1203" s="4">
        <v>213216</v>
      </c>
      <c r="B1203" s="5" t="s">
        <v>1338</v>
      </c>
    </row>
    <row r="1204" spans="1:2" x14ac:dyDescent="0.35">
      <c r="A1204" s="4">
        <v>213217</v>
      </c>
      <c r="B1204" s="5" t="s">
        <v>1339</v>
      </c>
    </row>
    <row r="1205" spans="1:2" x14ac:dyDescent="0.35">
      <c r="A1205" s="4">
        <v>213218</v>
      </c>
      <c r="B1205" s="5" t="s">
        <v>1340</v>
      </c>
    </row>
    <row r="1206" spans="1:2" x14ac:dyDescent="0.35">
      <c r="A1206" s="4">
        <v>213219</v>
      </c>
      <c r="B1206" s="5" t="s">
        <v>1341</v>
      </c>
    </row>
    <row r="1207" spans="1:2" x14ac:dyDescent="0.35">
      <c r="A1207" s="4">
        <v>213220</v>
      </c>
      <c r="B1207" s="5" t="s">
        <v>1342</v>
      </c>
    </row>
    <row r="1208" spans="1:2" x14ac:dyDescent="0.35">
      <c r="A1208" s="4">
        <v>213221</v>
      </c>
      <c r="B1208" s="5" t="s">
        <v>1343</v>
      </c>
    </row>
    <row r="1209" spans="1:2" x14ac:dyDescent="0.35">
      <c r="A1209" s="4">
        <v>213230</v>
      </c>
      <c r="B1209" s="5" t="s">
        <v>1344</v>
      </c>
    </row>
    <row r="1210" spans="1:2" x14ac:dyDescent="0.35">
      <c r="A1210" s="4">
        <v>213231</v>
      </c>
      <c r="B1210" s="5" t="s">
        <v>1345</v>
      </c>
    </row>
    <row r="1211" spans="1:2" x14ac:dyDescent="0.35">
      <c r="A1211" s="4">
        <v>213240</v>
      </c>
      <c r="B1211" s="5" t="s">
        <v>1346</v>
      </c>
    </row>
    <row r="1212" spans="1:2" x14ac:dyDescent="0.35">
      <c r="A1212" s="4">
        <v>213250</v>
      </c>
      <c r="B1212" s="5" t="s">
        <v>1347</v>
      </c>
    </row>
    <row r="1213" spans="1:2" x14ac:dyDescent="0.35">
      <c r="A1213" s="4">
        <v>213260</v>
      </c>
      <c r="B1213" s="5" t="s">
        <v>1348</v>
      </c>
    </row>
    <row r="1214" spans="1:2" x14ac:dyDescent="0.35">
      <c r="A1214" s="4">
        <v>213270</v>
      </c>
      <c r="B1214" s="5" t="s">
        <v>1349</v>
      </c>
    </row>
    <row r="1215" spans="1:2" x14ac:dyDescent="0.35">
      <c r="A1215" s="4">
        <v>213280</v>
      </c>
      <c r="B1215" s="5" t="s">
        <v>1350</v>
      </c>
    </row>
    <row r="1216" spans="1:2" x14ac:dyDescent="0.35">
      <c r="A1216" s="4">
        <v>213300</v>
      </c>
      <c r="B1216" s="5" t="s">
        <v>1351</v>
      </c>
    </row>
    <row r="1217" spans="1:2" x14ac:dyDescent="0.35">
      <c r="A1217" s="4">
        <v>213310</v>
      </c>
      <c r="B1217" s="5" t="s">
        <v>1352</v>
      </c>
    </row>
    <row r="1218" spans="1:2" x14ac:dyDescent="0.35">
      <c r="A1218" s="4">
        <v>213400</v>
      </c>
      <c r="B1218" s="5" t="s">
        <v>1353</v>
      </c>
    </row>
    <row r="1219" spans="1:2" x14ac:dyDescent="0.35">
      <c r="A1219" s="4">
        <v>214200</v>
      </c>
      <c r="B1219" s="5" t="s">
        <v>1354</v>
      </c>
    </row>
    <row r="1220" spans="1:2" x14ac:dyDescent="0.35">
      <c r="A1220" s="4">
        <v>214300</v>
      </c>
      <c r="B1220" s="5" t="s">
        <v>1355</v>
      </c>
    </row>
    <row r="1221" spans="1:2" x14ac:dyDescent="0.35">
      <c r="A1221" s="4">
        <v>214400</v>
      </c>
      <c r="B1221" s="5" t="s">
        <v>1356</v>
      </c>
    </row>
    <row r="1222" spans="1:2" x14ac:dyDescent="0.35">
      <c r="A1222" s="4">
        <v>214410</v>
      </c>
      <c r="B1222" s="5" t="s">
        <v>1357</v>
      </c>
    </row>
    <row r="1223" spans="1:2" x14ac:dyDescent="0.35">
      <c r="A1223" s="4">
        <v>214500</v>
      </c>
      <c r="B1223" s="5" t="s">
        <v>1358</v>
      </c>
    </row>
    <row r="1224" spans="1:2" x14ac:dyDescent="0.35">
      <c r="A1224" s="4">
        <v>214510</v>
      </c>
      <c r="B1224" s="5" t="s">
        <v>1359</v>
      </c>
    </row>
    <row r="1225" spans="1:2" x14ac:dyDescent="0.35">
      <c r="A1225" s="4">
        <v>214520</v>
      </c>
      <c r="B1225" s="5" t="s">
        <v>1360</v>
      </c>
    </row>
    <row r="1226" spans="1:2" x14ac:dyDescent="0.35">
      <c r="A1226" s="4">
        <v>214530</v>
      </c>
      <c r="B1226" s="5" t="s">
        <v>1361</v>
      </c>
    </row>
    <row r="1227" spans="1:2" x14ac:dyDescent="0.35">
      <c r="A1227" s="4">
        <v>214600</v>
      </c>
      <c r="B1227" s="5" t="s">
        <v>1362</v>
      </c>
    </row>
    <row r="1228" spans="1:2" x14ac:dyDescent="0.35">
      <c r="A1228" s="4">
        <v>214700</v>
      </c>
      <c r="B1228" s="5" t="s">
        <v>1363</v>
      </c>
    </row>
    <row r="1229" spans="1:2" x14ac:dyDescent="0.35">
      <c r="A1229" s="4">
        <v>214800</v>
      </c>
      <c r="B1229" s="5" t="s">
        <v>1364</v>
      </c>
    </row>
    <row r="1230" spans="1:2" x14ac:dyDescent="0.35">
      <c r="A1230" s="4">
        <v>214900</v>
      </c>
      <c r="B1230" s="5" t="s">
        <v>1365</v>
      </c>
    </row>
    <row r="1231" spans="1:2" x14ac:dyDescent="0.35">
      <c r="A1231" s="4">
        <v>215000</v>
      </c>
      <c r="B1231" s="5" t="s">
        <v>1366</v>
      </c>
    </row>
    <row r="1232" spans="1:2" x14ac:dyDescent="0.35">
      <c r="A1232" s="4">
        <v>215100</v>
      </c>
      <c r="B1232" s="5" t="s">
        <v>1367</v>
      </c>
    </row>
    <row r="1233" spans="1:2" x14ac:dyDescent="0.35">
      <c r="A1233" s="4">
        <v>215200</v>
      </c>
      <c r="B1233" s="5" t="s">
        <v>1368</v>
      </c>
    </row>
    <row r="1234" spans="1:2" x14ac:dyDescent="0.35">
      <c r="A1234" s="4">
        <v>215300</v>
      </c>
      <c r="B1234" s="5" t="s">
        <v>1369</v>
      </c>
    </row>
    <row r="1235" spans="1:2" x14ac:dyDescent="0.35">
      <c r="A1235" s="4">
        <v>215400</v>
      </c>
      <c r="B1235" s="5" t="s">
        <v>1370</v>
      </c>
    </row>
    <row r="1236" spans="1:2" x14ac:dyDescent="0.35">
      <c r="A1236" s="4">
        <v>216000</v>
      </c>
      <c r="B1236" s="5" t="s">
        <v>1371</v>
      </c>
    </row>
    <row r="1237" spans="1:2" x14ac:dyDescent="0.35">
      <c r="A1237" s="4">
        <v>217000</v>
      </c>
      <c r="B1237" s="5" t="s">
        <v>1372</v>
      </c>
    </row>
    <row r="1238" spans="1:2" x14ac:dyDescent="0.35">
      <c r="A1238" s="4">
        <v>217100</v>
      </c>
      <c r="B1238" s="5" t="s">
        <v>1373</v>
      </c>
    </row>
    <row r="1239" spans="1:2" x14ac:dyDescent="0.35">
      <c r="A1239" s="4">
        <v>217200</v>
      </c>
      <c r="B1239" s="5" t="s">
        <v>1374</v>
      </c>
    </row>
    <row r="1240" spans="1:2" x14ac:dyDescent="0.35">
      <c r="A1240" s="4">
        <v>217300</v>
      </c>
      <c r="B1240" s="5" t="s">
        <v>1375</v>
      </c>
    </row>
    <row r="1241" spans="1:2" x14ac:dyDescent="0.35">
      <c r="A1241" s="4">
        <v>217310</v>
      </c>
      <c r="B1241" s="5" t="s">
        <v>1376</v>
      </c>
    </row>
    <row r="1242" spans="1:2" x14ac:dyDescent="0.35">
      <c r="A1242" s="4">
        <v>217370</v>
      </c>
      <c r="B1242" s="5" t="s">
        <v>1377</v>
      </c>
    </row>
    <row r="1243" spans="1:2" x14ac:dyDescent="0.35">
      <c r="A1243" s="4">
        <v>217400</v>
      </c>
      <c r="B1243" s="5" t="s">
        <v>1378</v>
      </c>
    </row>
    <row r="1244" spans="1:2" x14ac:dyDescent="0.35">
      <c r="A1244" s="4">
        <v>217500</v>
      </c>
      <c r="B1244" s="5" t="s">
        <v>1379</v>
      </c>
    </row>
    <row r="1245" spans="1:2" x14ac:dyDescent="0.35">
      <c r="A1245" s="4">
        <v>217600</v>
      </c>
      <c r="B1245" s="5" t="s">
        <v>1380</v>
      </c>
    </row>
    <row r="1246" spans="1:2" x14ac:dyDescent="0.35">
      <c r="A1246" s="4">
        <v>217700</v>
      </c>
      <c r="B1246" s="5" t="s">
        <v>1381</v>
      </c>
    </row>
    <row r="1247" spans="1:2" x14ac:dyDescent="0.35">
      <c r="A1247" s="4">
        <v>217800</v>
      </c>
      <c r="B1247" s="5" t="s">
        <v>1382</v>
      </c>
    </row>
    <row r="1248" spans="1:2" x14ac:dyDescent="0.35">
      <c r="A1248" s="4">
        <v>218000</v>
      </c>
      <c r="B1248" s="5" t="s">
        <v>1383</v>
      </c>
    </row>
    <row r="1249" spans="1:2" x14ac:dyDescent="0.35">
      <c r="A1249" s="4">
        <v>218010</v>
      </c>
      <c r="B1249" s="5" t="s">
        <v>1384</v>
      </c>
    </row>
    <row r="1250" spans="1:2" x14ac:dyDescent="0.35">
      <c r="A1250" s="4">
        <v>218020</v>
      </c>
      <c r="B1250" s="5" t="s">
        <v>1385</v>
      </c>
    </row>
    <row r="1251" spans="1:2" x14ac:dyDescent="0.35">
      <c r="A1251" s="4">
        <v>218030</v>
      </c>
      <c r="B1251" s="5" t="s">
        <v>1386</v>
      </c>
    </row>
    <row r="1252" spans="1:2" x14ac:dyDescent="0.35">
      <c r="A1252" s="4">
        <v>218100</v>
      </c>
      <c r="B1252" s="5" t="s">
        <v>1387</v>
      </c>
    </row>
    <row r="1253" spans="1:2" x14ac:dyDescent="0.35">
      <c r="A1253" s="4">
        <v>218110</v>
      </c>
      <c r="B1253" s="5" t="s">
        <v>1388</v>
      </c>
    </row>
    <row r="1254" spans="1:2" x14ac:dyDescent="0.35">
      <c r="A1254" s="4">
        <v>218200</v>
      </c>
      <c r="B1254" s="5" t="s">
        <v>1389</v>
      </c>
    </row>
    <row r="1255" spans="1:2" x14ac:dyDescent="0.35">
      <c r="A1255" s="4">
        <v>218830</v>
      </c>
      <c r="B1255" s="5" t="s">
        <v>1390</v>
      </c>
    </row>
    <row r="1256" spans="1:2" x14ac:dyDescent="0.35">
      <c r="A1256" s="4">
        <v>218840</v>
      </c>
      <c r="B1256" s="5" t="s">
        <v>1391</v>
      </c>
    </row>
    <row r="1257" spans="1:2" x14ac:dyDescent="0.35">
      <c r="A1257" s="4">
        <v>218850</v>
      </c>
      <c r="B1257" s="5" t="s">
        <v>1392</v>
      </c>
    </row>
    <row r="1258" spans="1:2" x14ac:dyDescent="0.35">
      <c r="A1258" s="4">
        <v>218860</v>
      </c>
      <c r="B1258" s="5" t="s">
        <v>1393</v>
      </c>
    </row>
    <row r="1259" spans="1:2" x14ac:dyDescent="0.35">
      <c r="A1259" s="4">
        <v>218870</v>
      </c>
      <c r="B1259" s="5" t="s">
        <v>1394</v>
      </c>
    </row>
    <row r="1260" spans="1:2" x14ac:dyDescent="0.35">
      <c r="A1260" s="4">
        <v>218880</v>
      </c>
      <c r="B1260" s="5" t="s">
        <v>1395</v>
      </c>
    </row>
    <row r="1261" spans="1:2" x14ac:dyDescent="0.35">
      <c r="A1261" s="4">
        <v>218890</v>
      </c>
      <c r="B1261" s="5" t="s">
        <v>1396</v>
      </c>
    </row>
    <row r="1262" spans="1:2" x14ac:dyDescent="0.35">
      <c r="A1262" s="4">
        <v>218900</v>
      </c>
      <c r="B1262" s="5" t="s">
        <v>1397</v>
      </c>
    </row>
    <row r="1263" spans="1:2" x14ac:dyDescent="0.35">
      <c r="A1263" s="4">
        <v>218910</v>
      </c>
      <c r="B1263" s="5" t="s">
        <v>1398</v>
      </c>
    </row>
    <row r="1264" spans="1:2" x14ac:dyDescent="0.35">
      <c r="A1264" s="4">
        <v>218920</v>
      </c>
      <c r="B1264" s="5" t="s">
        <v>1399</v>
      </c>
    </row>
    <row r="1265" spans="1:2" x14ac:dyDescent="0.35">
      <c r="A1265" s="4">
        <v>218930</v>
      </c>
      <c r="B1265" s="5" t="s">
        <v>1400</v>
      </c>
    </row>
    <row r="1266" spans="1:2" x14ac:dyDescent="0.35">
      <c r="A1266" s="4">
        <v>219000</v>
      </c>
      <c r="B1266" s="5" t="s">
        <v>1401</v>
      </c>
    </row>
    <row r="1267" spans="1:2" x14ac:dyDescent="0.35">
      <c r="A1267" s="4">
        <v>219010</v>
      </c>
      <c r="B1267" s="5" t="s">
        <v>1402</v>
      </c>
    </row>
    <row r="1268" spans="1:2" x14ac:dyDescent="0.35">
      <c r="A1268" s="4">
        <v>219011</v>
      </c>
      <c r="B1268" s="5" t="s">
        <v>1403</v>
      </c>
    </row>
    <row r="1269" spans="1:2" x14ac:dyDescent="0.35">
      <c r="A1269" s="4">
        <v>219020</v>
      </c>
      <c r="B1269" s="5" t="s">
        <v>1404</v>
      </c>
    </row>
    <row r="1270" spans="1:2" x14ac:dyDescent="0.35">
      <c r="A1270" s="4">
        <v>219030</v>
      </c>
      <c r="B1270" s="5" t="s">
        <v>1405</v>
      </c>
    </row>
    <row r="1271" spans="1:2" x14ac:dyDescent="0.35">
      <c r="A1271" s="4">
        <v>219040</v>
      </c>
      <c r="B1271" s="5" t="s">
        <v>1406</v>
      </c>
    </row>
    <row r="1272" spans="1:2" x14ac:dyDescent="0.35">
      <c r="A1272" s="4">
        <v>219050</v>
      </c>
      <c r="B1272" s="5" t="s">
        <v>1407</v>
      </c>
    </row>
    <row r="1273" spans="1:2" x14ac:dyDescent="0.35">
      <c r="A1273" s="4">
        <v>219060</v>
      </c>
      <c r="B1273" s="5" t="s">
        <v>1408</v>
      </c>
    </row>
    <row r="1274" spans="1:2" x14ac:dyDescent="0.35">
      <c r="A1274" s="4">
        <v>219070</v>
      </c>
      <c r="B1274" s="5" t="s">
        <v>1409</v>
      </c>
    </row>
    <row r="1275" spans="1:2" x14ac:dyDescent="0.35">
      <c r="A1275" s="4">
        <v>219080</v>
      </c>
      <c r="B1275" s="5" t="s">
        <v>1410</v>
      </c>
    </row>
    <row r="1276" spans="1:2" x14ac:dyDescent="0.35">
      <c r="A1276" s="4">
        <v>219081</v>
      </c>
      <c r="B1276" s="5" t="s">
        <v>1411</v>
      </c>
    </row>
    <row r="1277" spans="1:2" x14ac:dyDescent="0.35">
      <c r="A1277" s="4">
        <v>219082</v>
      </c>
      <c r="B1277" s="5" t="s">
        <v>1412</v>
      </c>
    </row>
    <row r="1278" spans="1:2" x14ac:dyDescent="0.35">
      <c r="A1278" s="4">
        <v>219090</v>
      </c>
      <c r="B1278" s="5" t="s">
        <v>1413</v>
      </c>
    </row>
    <row r="1279" spans="1:2" x14ac:dyDescent="0.35">
      <c r="A1279" s="4">
        <v>219100</v>
      </c>
      <c r="B1279" s="5" t="s">
        <v>1414</v>
      </c>
    </row>
    <row r="1280" spans="1:2" x14ac:dyDescent="0.35">
      <c r="A1280" s="4">
        <v>219110</v>
      </c>
      <c r="B1280" s="5" t="s">
        <v>1415</v>
      </c>
    </row>
    <row r="1281" spans="1:2" x14ac:dyDescent="0.35">
      <c r="A1281" s="4">
        <v>219111</v>
      </c>
      <c r="B1281" s="5" t="s">
        <v>1416</v>
      </c>
    </row>
    <row r="1282" spans="1:2" x14ac:dyDescent="0.35">
      <c r="A1282" s="4">
        <v>219120</v>
      </c>
      <c r="B1282" s="5" t="s">
        <v>1417</v>
      </c>
    </row>
    <row r="1283" spans="1:2" x14ac:dyDescent="0.35">
      <c r="A1283" s="4">
        <v>219130</v>
      </c>
      <c r="B1283" s="5" t="s">
        <v>1418</v>
      </c>
    </row>
    <row r="1284" spans="1:2" x14ac:dyDescent="0.35">
      <c r="A1284" s="4">
        <v>219131</v>
      </c>
      <c r="B1284" s="5" t="s">
        <v>1419</v>
      </c>
    </row>
    <row r="1285" spans="1:2" x14ac:dyDescent="0.35">
      <c r="A1285" s="4">
        <v>219132</v>
      </c>
      <c r="B1285" s="5" t="s">
        <v>1420</v>
      </c>
    </row>
    <row r="1286" spans="1:2" x14ac:dyDescent="0.35">
      <c r="A1286" s="4">
        <v>219140</v>
      </c>
      <c r="B1286" s="5" t="s">
        <v>1421</v>
      </c>
    </row>
    <row r="1287" spans="1:2" x14ac:dyDescent="0.35">
      <c r="A1287" s="4">
        <v>219150</v>
      </c>
      <c r="B1287" s="5" t="s">
        <v>1422</v>
      </c>
    </row>
    <row r="1288" spans="1:2" x14ac:dyDescent="0.35">
      <c r="A1288" s="4">
        <v>219151</v>
      </c>
      <c r="B1288" s="5" t="s">
        <v>1423</v>
      </c>
    </row>
    <row r="1289" spans="1:2" x14ac:dyDescent="0.35">
      <c r="A1289" s="4">
        <v>219160</v>
      </c>
      <c r="B1289" s="5" t="s">
        <v>1424</v>
      </c>
    </row>
    <row r="1290" spans="1:2" x14ac:dyDescent="0.35">
      <c r="A1290" s="4">
        <v>219161</v>
      </c>
      <c r="B1290" s="5" t="s">
        <v>1425</v>
      </c>
    </row>
    <row r="1291" spans="1:2" x14ac:dyDescent="0.35">
      <c r="A1291" s="4">
        <v>219170</v>
      </c>
      <c r="B1291" s="5" t="s">
        <v>1426</v>
      </c>
    </row>
    <row r="1292" spans="1:2" x14ac:dyDescent="0.35">
      <c r="A1292" s="4">
        <v>219180</v>
      </c>
      <c r="B1292" s="5" t="s">
        <v>1427</v>
      </c>
    </row>
    <row r="1293" spans="1:2" x14ac:dyDescent="0.35">
      <c r="A1293" s="4">
        <v>219200</v>
      </c>
      <c r="B1293" s="5" t="s">
        <v>1428</v>
      </c>
    </row>
    <row r="1294" spans="1:2" x14ac:dyDescent="0.35">
      <c r="A1294" s="4">
        <v>219201</v>
      </c>
      <c r="B1294" s="5" t="s">
        <v>1429</v>
      </c>
    </row>
    <row r="1295" spans="1:2" x14ac:dyDescent="0.35">
      <c r="A1295" s="4">
        <v>219202</v>
      </c>
      <c r="B1295" s="5" t="s">
        <v>1430</v>
      </c>
    </row>
    <row r="1296" spans="1:2" x14ac:dyDescent="0.35">
      <c r="A1296" s="4">
        <v>219210</v>
      </c>
      <c r="B1296" s="5" t="s">
        <v>1431</v>
      </c>
    </row>
    <row r="1297" spans="1:2" x14ac:dyDescent="0.35">
      <c r="A1297" s="4">
        <v>219300</v>
      </c>
      <c r="B1297" s="5" t="s">
        <v>1432</v>
      </c>
    </row>
    <row r="1298" spans="1:2" x14ac:dyDescent="0.35">
      <c r="A1298" s="4">
        <v>219400</v>
      </c>
      <c r="B1298" s="5" t="s">
        <v>1433</v>
      </c>
    </row>
    <row r="1299" spans="1:2" x14ac:dyDescent="0.35">
      <c r="A1299" s="4">
        <v>219410</v>
      </c>
      <c r="B1299" s="5" t="s">
        <v>1434</v>
      </c>
    </row>
    <row r="1300" spans="1:2" x14ac:dyDescent="0.35">
      <c r="A1300" s="4">
        <v>219420</v>
      </c>
      <c r="B1300" s="5" t="s">
        <v>1435</v>
      </c>
    </row>
    <row r="1301" spans="1:2" x14ac:dyDescent="0.35">
      <c r="A1301" s="4">
        <v>219421</v>
      </c>
      <c r="B1301" s="5" t="s">
        <v>1436</v>
      </c>
    </row>
    <row r="1302" spans="1:2" x14ac:dyDescent="0.35">
      <c r="A1302" s="4">
        <v>219422</v>
      </c>
      <c r="B1302" s="5" t="s">
        <v>1437</v>
      </c>
    </row>
    <row r="1303" spans="1:2" x14ac:dyDescent="0.35">
      <c r="A1303" s="4">
        <v>219423</v>
      </c>
      <c r="B1303" s="5" t="s">
        <v>1438</v>
      </c>
    </row>
    <row r="1304" spans="1:2" x14ac:dyDescent="0.35">
      <c r="A1304" s="4">
        <v>219424</v>
      </c>
      <c r="B1304" s="5" t="s">
        <v>1439</v>
      </c>
    </row>
    <row r="1305" spans="1:2" x14ac:dyDescent="0.35">
      <c r="A1305" s="4">
        <v>219425</v>
      </c>
      <c r="B1305" s="5" t="s">
        <v>1440</v>
      </c>
    </row>
    <row r="1306" spans="1:2" x14ac:dyDescent="0.35">
      <c r="A1306" s="4">
        <v>219426</v>
      </c>
      <c r="B1306" s="5" t="s">
        <v>1441</v>
      </c>
    </row>
    <row r="1307" spans="1:2" x14ac:dyDescent="0.35">
      <c r="A1307" s="4">
        <v>219427</v>
      </c>
      <c r="B1307" s="5" t="s">
        <v>1442</v>
      </c>
    </row>
    <row r="1308" spans="1:2" x14ac:dyDescent="0.35">
      <c r="A1308" s="4">
        <v>219428</v>
      </c>
      <c r="B1308" s="5" t="s">
        <v>1443</v>
      </c>
    </row>
    <row r="1309" spans="1:2" x14ac:dyDescent="0.35">
      <c r="A1309" s="4">
        <v>219429</v>
      </c>
      <c r="B1309" s="5" t="s">
        <v>1444</v>
      </c>
    </row>
    <row r="1310" spans="1:2" x14ac:dyDescent="0.35">
      <c r="A1310" s="4">
        <v>219430</v>
      </c>
      <c r="B1310" s="5" t="s">
        <v>1445</v>
      </c>
    </row>
    <row r="1311" spans="1:2" x14ac:dyDescent="0.35">
      <c r="A1311" s="4">
        <v>219431</v>
      </c>
      <c r="B1311" s="5" t="s">
        <v>1446</v>
      </c>
    </row>
    <row r="1312" spans="1:2" x14ac:dyDescent="0.35">
      <c r="A1312" s="4">
        <v>219432</v>
      </c>
      <c r="B1312" s="5" t="s">
        <v>1447</v>
      </c>
    </row>
    <row r="1313" spans="1:2" x14ac:dyDescent="0.35">
      <c r="A1313" s="4">
        <v>219433</v>
      </c>
      <c r="B1313" s="5" t="s">
        <v>1448</v>
      </c>
    </row>
    <row r="1314" spans="1:2" x14ac:dyDescent="0.35">
      <c r="A1314" s="4">
        <v>219434</v>
      </c>
      <c r="B1314" s="5" t="s">
        <v>1449</v>
      </c>
    </row>
    <row r="1315" spans="1:2" x14ac:dyDescent="0.35">
      <c r="A1315" s="4">
        <v>219435</v>
      </c>
      <c r="B1315" s="5" t="s">
        <v>1450</v>
      </c>
    </row>
    <row r="1316" spans="1:2" x14ac:dyDescent="0.35">
      <c r="A1316" s="4">
        <v>219436</v>
      </c>
      <c r="B1316" s="5" t="s">
        <v>1451</v>
      </c>
    </row>
    <row r="1317" spans="1:2" x14ac:dyDescent="0.35">
      <c r="A1317" s="4">
        <v>219437</v>
      </c>
      <c r="B1317" s="5" t="s">
        <v>1452</v>
      </c>
    </row>
    <row r="1318" spans="1:2" x14ac:dyDescent="0.35">
      <c r="A1318" s="4">
        <v>219438</v>
      </c>
      <c r="B1318" s="5" t="s">
        <v>1453</v>
      </c>
    </row>
    <row r="1319" spans="1:2" x14ac:dyDescent="0.35">
      <c r="A1319" s="4">
        <v>219439</v>
      </c>
      <c r="B1319" s="5" t="s">
        <v>1454</v>
      </c>
    </row>
    <row r="1320" spans="1:2" x14ac:dyDescent="0.35">
      <c r="A1320" s="4">
        <v>219440</v>
      </c>
      <c r="B1320" s="5" t="s">
        <v>1455</v>
      </c>
    </row>
    <row r="1321" spans="1:2" x14ac:dyDescent="0.35">
      <c r="A1321" s="4">
        <v>219441</v>
      </c>
      <c r="B1321" s="5" t="s">
        <v>1456</v>
      </c>
    </row>
    <row r="1322" spans="1:2" x14ac:dyDescent="0.35">
      <c r="A1322" s="4">
        <v>219442</v>
      </c>
      <c r="B1322" s="5" t="s">
        <v>1457</v>
      </c>
    </row>
    <row r="1323" spans="1:2" x14ac:dyDescent="0.35">
      <c r="A1323" s="4">
        <v>219450</v>
      </c>
      <c r="B1323" s="5" t="s">
        <v>1458</v>
      </c>
    </row>
    <row r="1324" spans="1:2" x14ac:dyDescent="0.35">
      <c r="A1324" s="4">
        <v>219460</v>
      </c>
      <c r="B1324" s="5" t="s">
        <v>1459</v>
      </c>
    </row>
    <row r="1325" spans="1:2" x14ac:dyDescent="0.35">
      <c r="A1325" s="4">
        <v>219470</v>
      </c>
      <c r="B1325" s="5" t="s">
        <v>1460</v>
      </c>
    </row>
    <row r="1326" spans="1:2" x14ac:dyDescent="0.35">
      <c r="A1326" s="4">
        <v>219471</v>
      </c>
      <c r="B1326" s="5" t="s">
        <v>1461</v>
      </c>
    </row>
    <row r="1327" spans="1:2" x14ac:dyDescent="0.35">
      <c r="A1327" s="4">
        <v>219472</v>
      </c>
      <c r="B1327" s="5" t="s">
        <v>1462</v>
      </c>
    </row>
    <row r="1328" spans="1:2" x14ac:dyDescent="0.35">
      <c r="A1328" s="4">
        <v>219480</v>
      </c>
      <c r="B1328" s="5" t="s">
        <v>1463</v>
      </c>
    </row>
    <row r="1329" spans="1:2" x14ac:dyDescent="0.35">
      <c r="A1329" s="4">
        <v>219490</v>
      </c>
      <c r="B1329" s="5" t="s">
        <v>1464</v>
      </c>
    </row>
    <row r="1330" spans="1:2" x14ac:dyDescent="0.35">
      <c r="A1330" s="4">
        <v>219500</v>
      </c>
      <c r="B1330" s="5" t="s">
        <v>1465</v>
      </c>
    </row>
    <row r="1331" spans="1:2" x14ac:dyDescent="0.35">
      <c r="A1331" s="4">
        <v>219501</v>
      </c>
      <c r="B1331" s="5" t="s">
        <v>1466</v>
      </c>
    </row>
    <row r="1332" spans="1:2" x14ac:dyDescent="0.35">
      <c r="A1332" s="4">
        <v>219510</v>
      </c>
      <c r="B1332" s="5" t="s">
        <v>1467</v>
      </c>
    </row>
    <row r="1333" spans="1:2" x14ac:dyDescent="0.35">
      <c r="A1333" s="4">
        <v>219520</v>
      </c>
      <c r="B1333" s="5" t="s">
        <v>1468</v>
      </c>
    </row>
    <row r="1334" spans="1:2" x14ac:dyDescent="0.35">
      <c r="A1334" s="4">
        <v>219530</v>
      </c>
      <c r="B1334" s="5" t="s">
        <v>1469</v>
      </c>
    </row>
    <row r="1335" spans="1:2" x14ac:dyDescent="0.35">
      <c r="A1335" s="4">
        <v>219540</v>
      </c>
      <c r="B1335" s="5" t="s">
        <v>1470</v>
      </c>
    </row>
    <row r="1336" spans="1:2" x14ac:dyDescent="0.35">
      <c r="A1336" s="4">
        <v>219590</v>
      </c>
      <c r="B1336" s="5" t="s">
        <v>1471</v>
      </c>
    </row>
    <row r="1337" spans="1:2" x14ac:dyDescent="0.35">
      <c r="A1337" s="4">
        <v>219600</v>
      </c>
      <c r="B1337" s="5" t="s">
        <v>1472</v>
      </c>
    </row>
    <row r="1338" spans="1:2" x14ac:dyDescent="0.35">
      <c r="A1338" s="4">
        <v>219610</v>
      </c>
      <c r="B1338" s="5" t="s">
        <v>1473</v>
      </c>
    </row>
    <row r="1339" spans="1:2" x14ac:dyDescent="0.35">
      <c r="A1339" s="4">
        <v>219620</v>
      </c>
      <c r="B1339" s="5" t="s">
        <v>1474</v>
      </c>
    </row>
    <row r="1340" spans="1:2" x14ac:dyDescent="0.35">
      <c r="A1340" s="4">
        <v>219630</v>
      </c>
      <c r="B1340" s="5" t="s">
        <v>1475</v>
      </c>
    </row>
    <row r="1341" spans="1:2" x14ac:dyDescent="0.35">
      <c r="A1341" s="4">
        <v>219640</v>
      </c>
      <c r="B1341" s="5" t="s">
        <v>1476</v>
      </c>
    </row>
    <row r="1342" spans="1:2" x14ac:dyDescent="0.35">
      <c r="A1342" s="4">
        <v>219650</v>
      </c>
      <c r="B1342" s="5" t="s">
        <v>1477</v>
      </c>
    </row>
    <row r="1343" spans="1:2" x14ac:dyDescent="0.35">
      <c r="A1343" s="4">
        <v>219660</v>
      </c>
      <c r="B1343" s="5" t="s">
        <v>1478</v>
      </c>
    </row>
    <row r="1344" spans="1:2" x14ac:dyDescent="0.35">
      <c r="A1344" s="4">
        <v>219661</v>
      </c>
      <c r="B1344" s="5" t="s">
        <v>1479</v>
      </c>
    </row>
    <row r="1345" spans="1:2" x14ac:dyDescent="0.35">
      <c r="A1345" s="4">
        <v>219670</v>
      </c>
      <c r="B1345" s="5" t="s">
        <v>1480</v>
      </c>
    </row>
    <row r="1346" spans="1:2" x14ac:dyDescent="0.35">
      <c r="A1346" s="4">
        <v>219680</v>
      </c>
      <c r="B1346" s="5" t="s">
        <v>1481</v>
      </c>
    </row>
    <row r="1347" spans="1:2" x14ac:dyDescent="0.35">
      <c r="A1347" s="4">
        <v>219681</v>
      </c>
      <c r="B1347" s="5" t="s">
        <v>1482</v>
      </c>
    </row>
    <row r="1348" spans="1:2" x14ac:dyDescent="0.35">
      <c r="A1348" s="4">
        <v>219682</v>
      </c>
      <c r="B1348" s="5" t="s">
        <v>1483</v>
      </c>
    </row>
    <row r="1349" spans="1:2" x14ac:dyDescent="0.35">
      <c r="A1349" s="4">
        <v>219690</v>
      </c>
      <c r="B1349" s="5" t="s">
        <v>1484</v>
      </c>
    </row>
    <row r="1350" spans="1:2" x14ac:dyDescent="0.35">
      <c r="A1350" s="4">
        <v>219700</v>
      </c>
      <c r="B1350" s="5" t="s">
        <v>1485</v>
      </c>
    </row>
    <row r="1351" spans="1:2" x14ac:dyDescent="0.35">
      <c r="A1351" s="4">
        <v>219710</v>
      </c>
      <c r="B1351" s="5" t="s">
        <v>1486</v>
      </c>
    </row>
    <row r="1352" spans="1:2" x14ac:dyDescent="0.35">
      <c r="A1352" s="4">
        <v>219800</v>
      </c>
      <c r="B1352" s="5" t="s">
        <v>1487</v>
      </c>
    </row>
    <row r="1353" spans="1:2" x14ac:dyDescent="0.35">
      <c r="A1353" s="4">
        <v>219900</v>
      </c>
      <c r="B1353" s="5" t="s">
        <v>1488</v>
      </c>
    </row>
    <row r="1354" spans="1:2" x14ac:dyDescent="0.35">
      <c r="A1354" s="4">
        <v>220000</v>
      </c>
      <c r="B1354" s="5" t="s">
        <v>1489</v>
      </c>
    </row>
    <row r="1355" spans="1:2" x14ac:dyDescent="0.35">
      <c r="A1355" s="4">
        <v>221000</v>
      </c>
      <c r="B1355" s="5" t="s">
        <v>1490</v>
      </c>
    </row>
    <row r="1356" spans="1:2" x14ac:dyDescent="0.35">
      <c r="A1356" s="4">
        <v>222000</v>
      </c>
      <c r="B1356" s="5" t="s">
        <v>1491</v>
      </c>
    </row>
    <row r="1357" spans="1:2" x14ac:dyDescent="0.35">
      <c r="A1357" s="4">
        <v>223000</v>
      </c>
      <c r="B1357" s="5" t="s">
        <v>1492</v>
      </c>
    </row>
    <row r="1358" spans="1:2" x14ac:dyDescent="0.35">
      <c r="A1358" s="4">
        <v>224000</v>
      </c>
      <c r="B1358" s="5" t="s">
        <v>1493</v>
      </c>
    </row>
    <row r="1359" spans="1:2" x14ac:dyDescent="0.35">
      <c r="A1359" s="4">
        <v>230000</v>
      </c>
      <c r="B1359" s="5" t="s">
        <v>1494</v>
      </c>
    </row>
    <row r="1360" spans="1:2" x14ac:dyDescent="0.35">
      <c r="A1360" s="4">
        <v>300000</v>
      </c>
      <c r="B1360" s="5" t="s">
        <v>1495</v>
      </c>
    </row>
    <row r="1361" spans="1:2" x14ac:dyDescent="0.35">
      <c r="A1361" s="4">
        <v>300100</v>
      </c>
      <c r="B1361" s="5" t="s">
        <v>1496</v>
      </c>
    </row>
    <row r="1362" spans="1:2" x14ac:dyDescent="0.35">
      <c r="A1362" s="4">
        <v>300200</v>
      </c>
      <c r="B1362" s="5" t="s">
        <v>1497</v>
      </c>
    </row>
    <row r="1363" spans="1:2" x14ac:dyDescent="0.35">
      <c r="A1363" s="4">
        <v>300210</v>
      </c>
      <c r="B1363" s="5" t="s">
        <v>1498</v>
      </c>
    </row>
    <row r="1364" spans="1:2" x14ac:dyDescent="0.35">
      <c r="A1364" s="4">
        <v>300300</v>
      </c>
      <c r="B1364" s="5" t="s">
        <v>1499</v>
      </c>
    </row>
    <row r="1365" spans="1:2" x14ac:dyDescent="0.35">
      <c r="A1365" s="4">
        <v>300310</v>
      </c>
      <c r="B1365" s="5" t="s">
        <v>1500</v>
      </c>
    </row>
    <row r="1366" spans="1:2" x14ac:dyDescent="0.35">
      <c r="A1366" s="4">
        <v>300400</v>
      </c>
      <c r="B1366" s="5" t="s">
        <v>1501</v>
      </c>
    </row>
    <row r="1367" spans="1:2" x14ac:dyDescent="0.35">
      <c r="A1367" s="4">
        <v>300500</v>
      </c>
      <c r="B1367" s="5" t="s">
        <v>1502</v>
      </c>
    </row>
    <row r="1368" spans="1:2" x14ac:dyDescent="0.35">
      <c r="A1368" s="4">
        <v>310100</v>
      </c>
      <c r="B1368" s="5" t="s">
        <v>1503</v>
      </c>
    </row>
    <row r="1369" spans="1:2" x14ac:dyDescent="0.35">
      <c r="A1369" s="4">
        <v>310101</v>
      </c>
      <c r="B1369" s="5" t="s">
        <v>1504</v>
      </c>
    </row>
    <row r="1370" spans="1:2" x14ac:dyDescent="0.35">
      <c r="A1370" s="4">
        <v>310102</v>
      </c>
      <c r="B1370" s="5" t="s">
        <v>1505</v>
      </c>
    </row>
    <row r="1371" spans="1:2" x14ac:dyDescent="0.35">
      <c r="A1371" s="4">
        <v>310103</v>
      </c>
      <c r="B1371" s="5" t="s">
        <v>1506</v>
      </c>
    </row>
    <row r="1372" spans="1:2" x14ac:dyDescent="0.35">
      <c r="A1372" s="4">
        <v>310104</v>
      </c>
      <c r="B1372" s="5" t="s">
        <v>1507</v>
      </c>
    </row>
    <row r="1373" spans="1:2" x14ac:dyDescent="0.35">
      <c r="A1373" s="4">
        <v>310105</v>
      </c>
      <c r="B1373" s="5" t="s">
        <v>1508</v>
      </c>
    </row>
    <row r="1374" spans="1:2" x14ac:dyDescent="0.35">
      <c r="A1374" s="4">
        <v>310106</v>
      </c>
      <c r="B1374" s="5" t="s">
        <v>1509</v>
      </c>
    </row>
    <row r="1375" spans="1:2" x14ac:dyDescent="0.35">
      <c r="A1375" s="4">
        <v>310107</v>
      </c>
      <c r="B1375" s="5" t="s">
        <v>1510</v>
      </c>
    </row>
    <row r="1376" spans="1:2" x14ac:dyDescent="0.35">
      <c r="A1376" s="4">
        <v>310108</v>
      </c>
      <c r="B1376" s="5" t="s">
        <v>1511</v>
      </c>
    </row>
    <row r="1377" spans="1:2" x14ac:dyDescent="0.35">
      <c r="A1377" s="4">
        <v>310110</v>
      </c>
      <c r="B1377" s="5" t="s">
        <v>1512</v>
      </c>
    </row>
    <row r="1378" spans="1:2" x14ac:dyDescent="0.35">
      <c r="A1378" s="4">
        <v>310120</v>
      </c>
      <c r="B1378" s="5" t="s">
        <v>1513</v>
      </c>
    </row>
    <row r="1379" spans="1:2" x14ac:dyDescent="0.35">
      <c r="A1379" s="4">
        <v>310130</v>
      </c>
      <c r="B1379" s="5" t="s">
        <v>1514</v>
      </c>
    </row>
    <row r="1380" spans="1:2" x14ac:dyDescent="0.35">
      <c r="A1380" s="4">
        <v>310140</v>
      </c>
      <c r="B1380" s="5" t="s">
        <v>1515</v>
      </c>
    </row>
    <row r="1381" spans="1:2" x14ac:dyDescent="0.35">
      <c r="A1381" s="4">
        <v>310141</v>
      </c>
      <c r="B1381" s="5" t="s">
        <v>1516</v>
      </c>
    </row>
    <row r="1382" spans="1:2" x14ac:dyDescent="0.35">
      <c r="A1382" s="4">
        <v>310142</v>
      </c>
      <c r="B1382" s="5" t="s">
        <v>1517</v>
      </c>
    </row>
    <row r="1383" spans="1:2" x14ac:dyDescent="0.35">
      <c r="A1383" s="4">
        <v>310150</v>
      </c>
      <c r="B1383" s="5" t="s">
        <v>1518</v>
      </c>
    </row>
    <row r="1384" spans="1:2" x14ac:dyDescent="0.35">
      <c r="A1384" s="4">
        <v>310151</v>
      </c>
      <c r="B1384" s="5" t="s">
        <v>1519</v>
      </c>
    </row>
    <row r="1385" spans="1:2" x14ac:dyDescent="0.35">
      <c r="A1385" s="4">
        <v>310152</v>
      </c>
      <c r="B1385" s="5" t="s">
        <v>1520</v>
      </c>
    </row>
    <row r="1386" spans="1:2" x14ac:dyDescent="0.35">
      <c r="A1386" s="4">
        <v>310160</v>
      </c>
      <c r="B1386" s="5" t="s">
        <v>1521</v>
      </c>
    </row>
    <row r="1387" spans="1:2" x14ac:dyDescent="0.35">
      <c r="A1387" s="4">
        <v>310170</v>
      </c>
      <c r="B1387" s="5" t="s">
        <v>1522</v>
      </c>
    </row>
    <row r="1388" spans="1:2" x14ac:dyDescent="0.35">
      <c r="A1388" s="4">
        <v>310180</v>
      </c>
      <c r="B1388" s="5" t="s">
        <v>1523</v>
      </c>
    </row>
    <row r="1389" spans="1:2" x14ac:dyDescent="0.35">
      <c r="A1389" s="4">
        <v>310190</v>
      </c>
      <c r="B1389" s="5" t="s">
        <v>1524</v>
      </c>
    </row>
    <row r="1390" spans="1:2" x14ac:dyDescent="0.35">
      <c r="A1390" s="4">
        <v>310200</v>
      </c>
      <c r="B1390" s="5" t="s">
        <v>1525</v>
      </c>
    </row>
    <row r="1391" spans="1:2" x14ac:dyDescent="0.35">
      <c r="A1391" s="4">
        <v>310201</v>
      </c>
      <c r="B1391" s="5" t="s">
        <v>1526</v>
      </c>
    </row>
    <row r="1392" spans="1:2" x14ac:dyDescent="0.35">
      <c r="A1392" s="4">
        <v>310202</v>
      </c>
      <c r="B1392" s="5" t="s">
        <v>1527</v>
      </c>
    </row>
    <row r="1393" spans="1:2" x14ac:dyDescent="0.35">
      <c r="A1393" s="4">
        <v>310203</v>
      </c>
      <c r="B1393" s="5" t="s">
        <v>1528</v>
      </c>
    </row>
    <row r="1394" spans="1:2" x14ac:dyDescent="0.35">
      <c r="A1394" s="4">
        <v>310204</v>
      </c>
      <c r="B1394" s="5" t="s">
        <v>1529</v>
      </c>
    </row>
    <row r="1395" spans="1:2" x14ac:dyDescent="0.35">
      <c r="A1395" s="4">
        <v>310205</v>
      </c>
      <c r="B1395" s="5" t="s">
        <v>1530</v>
      </c>
    </row>
    <row r="1396" spans="1:2" x14ac:dyDescent="0.35">
      <c r="A1396" s="4">
        <v>310206</v>
      </c>
      <c r="B1396" s="5" t="s">
        <v>1531</v>
      </c>
    </row>
    <row r="1397" spans="1:2" x14ac:dyDescent="0.35">
      <c r="A1397" s="4">
        <v>310210</v>
      </c>
      <c r="B1397" s="5" t="s">
        <v>1532</v>
      </c>
    </row>
    <row r="1398" spans="1:2" x14ac:dyDescent="0.35">
      <c r="A1398" s="4">
        <v>310211</v>
      </c>
      <c r="B1398" s="5" t="s">
        <v>1533</v>
      </c>
    </row>
    <row r="1399" spans="1:2" x14ac:dyDescent="0.35">
      <c r="A1399" s="4">
        <v>310212</v>
      </c>
      <c r="B1399" s="5" t="s">
        <v>1534</v>
      </c>
    </row>
    <row r="1400" spans="1:2" x14ac:dyDescent="0.35">
      <c r="A1400" s="4">
        <v>310213</v>
      </c>
      <c r="B1400" s="5" t="s">
        <v>1535</v>
      </c>
    </row>
    <row r="1401" spans="1:2" x14ac:dyDescent="0.35">
      <c r="A1401" s="4">
        <v>310220</v>
      </c>
      <c r="B1401" s="5" t="s">
        <v>1536</v>
      </c>
    </row>
    <row r="1402" spans="1:2" x14ac:dyDescent="0.35">
      <c r="A1402" s="4">
        <v>310230</v>
      </c>
      <c r="B1402" s="5" t="s">
        <v>1537</v>
      </c>
    </row>
    <row r="1403" spans="1:2" x14ac:dyDescent="0.35">
      <c r="A1403" s="4">
        <v>310240</v>
      </c>
      <c r="B1403" s="5" t="s">
        <v>1538</v>
      </c>
    </row>
    <row r="1404" spans="1:2" x14ac:dyDescent="0.35">
      <c r="A1404" s="4">
        <v>310250</v>
      </c>
      <c r="B1404" s="5" t="s">
        <v>1539</v>
      </c>
    </row>
    <row r="1405" spans="1:2" x14ac:dyDescent="0.35">
      <c r="A1405" s="4">
        <v>310260</v>
      </c>
      <c r="B1405" s="5" t="s">
        <v>1540</v>
      </c>
    </row>
    <row r="1406" spans="1:2" x14ac:dyDescent="0.35">
      <c r="A1406" s="4">
        <v>310300</v>
      </c>
      <c r="B1406" s="5" t="s">
        <v>1541</v>
      </c>
    </row>
    <row r="1407" spans="1:2" x14ac:dyDescent="0.35">
      <c r="A1407" s="4">
        <v>310400</v>
      </c>
      <c r="B1407" s="5" t="s">
        <v>1542</v>
      </c>
    </row>
    <row r="1408" spans="1:2" x14ac:dyDescent="0.35">
      <c r="A1408" s="4">
        <v>310500</v>
      </c>
      <c r="B1408" s="5" t="s">
        <v>1543</v>
      </c>
    </row>
    <row r="1409" spans="1:2" x14ac:dyDescent="0.35">
      <c r="A1409" s="4">
        <v>311000</v>
      </c>
      <c r="B1409" s="5" t="s">
        <v>1544</v>
      </c>
    </row>
    <row r="1410" spans="1:2" x14ac:dyDescent="0.35">
      <c r="A1410" s="4">
        <v>311100</v>
      </c>
      <c r="B1410" s="5" t="s">
        <v>1545</v>
      </c>
    </row>
    <row r="1411" spans="1:2" x14ac:dyDescent="0.35">
      <c r="A1411" s="4">
        <v>311200</v>
      </c>
      <c r="B1411" s="5" t="s">
        <v>1546</v>
      </c>
    </row>
    <row r="1412" spans="1:2" x14ac:dyDescent="0.35">
      <c r="A1412" s="4">
        <v>311300</v>
      </c>
      <c r="B1412" s="5" t="s">
        <v>1547</v>
      </c>
    </row>
    <row r="1413" spans="1:2" x14ac:dyDescent="0.35">
      <c r="A1413" s="4">
        <v>311310</v>
      </c>
      <c r="B1413" s="5" t="s">
        <v>1548</v>
      </c>
    </row>
    <row r="1414" spans="1:2" x14ac:dyDescent="0.35">
      <c r="A1414" s="4">
        <v>311400</v>
      </c>
      <c r="B1414" s="5" t="s">
        <v>1549</v>
      </c>
    </row>
    <row r="1415" spans="1:2" x14ac:dyDescent="0.35">
      <c r="A1415" s="4">
        <v>311500</v>
      </c>
      <c r="B1415" s="5" t="s">
        <v>1550</v>
      </c>
    </row>
    <row r="1416" spans="1:2" x14ac:dyDescent="0.35">
      <c r="A1416" s="4">
        <v>311600</v>
      </c>
      <c r="B1416" s="5" t="s">
        <v>1551</v>
      </c>
    </row>
    <row r="1417" spans="1:2" x14ac:dyDescent="0.35">
      <c r="A1417" s="4">
        <v>311700</v>
      </c>
      <c r="B1417" s="5" t="s">
        <v>1552</v>
      </c>
    </row>
    <row r="1418" spans="1:2" x14ac:dyDescent="0.35">
      <c r="A1418" s="4">
        <v>311900</v>
      </c>
      <c r="B1418" s="5" t="s">
        <v>1553</v>
      </c>
    </row>
    <row r="1419" spans="1:2" x14ac:dyDescent="0.35">
      <c r="A1419" s="4">
        <v>319600</v>
      </c>
      <c r="B1419" s="5" t="s">
        <v>1554</v>
      </c>
    </row>
    <row r="1420" spans="1:2" x14ac:dyDescent="0.35">
      <c r="A1420" s="4">
        <v>320000</v>
      </c>
      <c r="B1420" s="5" t="s">
        <v>1555</v>
      </c>
    </row>
    <row r="1421" spans="1:2" x14ac:dyDescent="0.35">
      <c r="A1421" s="4">
        <v>321000</v>
      </c>
      <c r="B1421" s="5" t="s">
        <v>1483</v>
      </c>
    </row>
    <row r="1422" spans="1:2" x14ac:dyDescent="0.35">
      <c r="A1422" s="4">
        <v>321100</v>
      </c>
      <c r="B1422" s="5" t="s">
        <v>1556</v>
      </c>
    </row>
    <row r="1423" spans="1:2" x14ac:dyDescent="0.35">
      <c r="A1423" s="4">
        <v>321200</v>
      </c>
      <c r="B1423" s="5" t="s">
        <v>1557</v>
      </c>
    </row>
    <row r="1424" spans="1:2" x14ac:dyDescent="0.35">
      <c r="A1424" s="4">
        <v>321300</v>
      </c>
      <c r="B1424" s="5" t="s">
        <v>1558</v>
      </c>
    </row>
    <row r="1425" spans="1:2" x14ac:dyDescent="0.35">
      <c r="A1425" s="4">
        <v>321400</v>
      </c>
      <c r="B1425" s="5" t="s">
        <v>1559</v>
      </c>
    </row>
    <row r="1426" spans="1:2" x14ac:dyDescent="0.35">
      <c r="A1426" s="4">
        <v>321500</v>
      </c>
      <c r="B1426" s="5" t="s">
        <v>1560</v>
      </c>
    </row>
    <row r="1427" spans="1:2" x14ac:dyDescent="0.35">
      <c r="A1427" s="4">
        <v>321600</v>
      </c>
      <c r="B1427" s="5" t="s">
        <v>1561</v>
      </c>
    </row>
    <row r="1428" spans="1:2" x14ac:dyDescent="0.35">
      <c r="A1428" s="4">
        <v>321900</v>
      </c>
      <c r="B1428" s="5" t="s">
        <v>1562</v>
      </c>
    </row>
    <row r="1429" spans="1:2" x14ac:dyDescent="0.35">
      <c r="A1429" s="4">
        <v>322000</v>
      </c>
      <c r="B1429" s="5" t="s">
        <v>1563</v>
      </c>
    </row>
    <row r="1430" spans="1:2" x14ac:dyDescent="0.35">
      <c r="A1430" s="4">
        <v>322200</v>
      </c>
      <c r="B1430" s="5" t="s">
        <v>1564</v>
      </c>
    </row>
    <row r="1431" spans="1:2" x14ac:dyDescent="0.35">
      <c r="A1431" s="4">
        <v>322400</v>
      </c>
      <c r="B1431" s="5" t="s">
        <v>1565</v>
      </c>
    </row>
    <row r="1432" spans="1:2" x14ac:dyDescent="0.35">
      <c r="A1432" s="4">
        <v>331100</v>
      </c>
      <c r="B1432" s="5" t="s">
        <v>1566</v>
      </c>
    </row>
    <row r="1433" spans="1:2" x14ac:dyDescent="0.35">
      <c r="A1433" s="4">
        <v>331200</v>
      </c>
      <c r="B1433" s="5" t="s">
        <v>1567</v>
      </c>
    </row>
    <row r="1434" spans="1:2" x14ac:dyDescent="0.35">
      <c r="A1434" s="4">
        <v>331300</v>
      </c>
      <c r="B1434" s="5" t="s">
        <v>1568</v>
      </c>
    </row>
    <row r="1435" spans="1:2" x14ac:dyDescent="0.35">
      <c r="A1435" s="4">
        <v>331400</v>
      </c>
      <c r="B1435" s="5" t="s">
        <v>1569</v>
      </c>
    </row>
    <row r="1436" spans="1:2" x14ac:dyDescent="0.35">
      <c r="A1436" s="4">
        <v>331500</v>
      </c>
      <c r="B1436" s="5" t="s">
        <v>1570</v>
      </c>
    </row>
    <row r="1437" spans="1:2" x14ac:dyDescent="0.35">
      <c r="A1437" s="4">
        <v>331600</v>
      </c>
      <c r="B1437" s="5" t="s">
        <v>1571</v>
      </c>
    </row>
    <row r="1438" spans="1:2" x14ac:dyDescent="0.35">
      <c r="A1438" s="4">
        <v>331700</v>
      </c>
      <c r="B1438" s="5" t="s">
        <v>1572</v>
      </c>
    </row>
    <row r="1439" spans="1:2" x14ac:dyDescent="0.35">
      <c r="A1439" s="4">
        <v>331800</v>
      </c>
      <c r="B1439" s="5" t="s">
        <v>1573</v>
      </c>
    </row>
    <row r="1440" spans="1:2" x14ac:dyDescent="0.35">
      <c r="A1440" s="4">
        <v>331810</v>
      </c>
      <c r="B1440" s="5" t="s">
        <v>1574</v>
      </c>
    </row>
    <row r="1441" spans="1:2" x14ac:dyDescent="0.35">
      <c r="A1441" s="4">
        <v>331820</v>
      </c>
      <c r="B1441" s="5" t="s">
        <v>1575</v>
      </c>
    </row>
    <row r="1442" spans="1:2" x14ac:dyDescent="0.35">
      <c r="A1442" s="4">
        <v>331830</v>
      </c>
      <c r="B1442" s="5" t="s">
        <v>1576</v>
      </c>
    </row>
    <row r="1443" spans="1:2" x14ac:dyDescent="0.35">
      <c r="A1443" s="4">
        <v>339000</v>
      </c>
      <c r="B1443" s="5" t="s">
        <v>1577</v>
      </c>
    </row>
    <row r="1444" spans="1:2" x14ac:dyDescent="0.35">
      <c r="A1444" s="4">
        <v>339100</v>
      </c>
      <c r="B1444" s="5" t="s">
        <v>1578</v>
      </c>
    </row>
    <row r="1445" spans="1:2" x14ac:dyDescent="0.35">
      <c r="A1445" s="4">
        <v>339200</v>
      </c>
      <c r="B1445" s="5" t="s">
        <v>1579</v>
      </c>
    </row>
    <row r="1446" spans="1:2" x14ac:dyDescent="0.35">
      <c r="A1446" s="4">
        <v>339300</v>
      </c>
      <c r="B1446" s="5" t="s">
        <v>1580</v>
      </c>
    </row>
    <row r="1447" spans="1:2" x14ac:dyDescent="0.35">
      <c r="A1447" s="4">
        <v>339400</v>
      </c>
      <c r="B1447" s="5" t="s">
        <v>1581</v>
      </c>
    </row>
    <row r="1448" spans="1:2" x14ac:dyDescent="0.35">
      <c r="A1448" s="4">
        <v>339500</v>
      </c>
      <c r="B1448" s="5" t="s">
        <v>1582</v>
      </c>
    </row>
    <row r="1449" spans="1:2" x14ac:dyDescent="0.35">
      <c r="A1449" s="4">
        <v>339900</v>
      </c>
      <c r="B1449" s="5" t="s">
        <v>1583</v>
      </c>
    </row>
    <row r="1450" spans="1:2" x14ac:dyDescent="0.35">
      <c r="A1450" s="4">
        <v>341108</v>
      </c>
      <c r="B1450" s="5" t="s">
        <v>1584</v>
      </c>
    </row>
    <row r="1451" spans="1:2" x14ac:dyDescent="0.35">
      <c r="A1451" s="4">
        <v>341200</v>
      </c>
      <c r="B1451" s="5" t="s">
        <v>1585</v>
      </c>
    </row>
    <row r="1452" spans="1:2" x14ac:dyDescent="0.35">
      <c r="A1452" s="4">
        <v>341400</v>
      </c>
      <c r="B1452" s="5" t="s">
        <v>1586</v>
      </c>
    </row>
    <row r="1453" spans="1:2" x14ac:dyDescent="0.35">
      <c r="A1453" s="4">
        <v>342200</v>
      </c>
      <c r="B1453" s="5" t="s">
        <v>1587</v>
      </c>
    </row>
    <row r="1454" spans="1:2" x14ac:dyDescent="0.35">
      <c r="A1454" s="4">
        <v>342300</v>
      </c>
      <c r="B1454" s="5" t="s">
        <v>1588</v>
      </c>
    </row>
    <row r="1455" spans="1:2" x14ac:dyDescent="0.35">
      <c r="A1455" s="4">
        <v>342400</v>
      </c>
      <c r="B1455" s="5" t="s">
        <v>1589</v>
      </c>
    </row>
    <row r="1456" spans="1:2" x14ac:dyDescent="0.35">
      <c r="A1456" s="4">
        <v>342500</v>
      </c>
      <c r="B1456" s="5" t="s">
        <v>1590</v>
      </c>
    </row>
    <row r="1457" spans="1:2" x14ac:dyDescent="0.35">
      <c r="A1457" s="4">
        <v>342600</v>
      </c>
      <c r="B1457" s="5" t="s">
        <v>1591</v>
      </c>
    </row>
    <row r="1458" spans="1:2" x14ac:dyDescent="0.35">
      <c r="A1458" s="4">
        <v>351200</v>
      </c>
      <c r="B1458" s="5" t="s">
        <v>1592</v>
      </c>
    </row>
    <row r="1459" spans="1:2" x14ac:dyDescent="0.35">
      <c r="A1459" s="4">
        <v>351400</v>
      </c>
      <c r="B1459" s="5" t="s">
        <v>1593</v>
      </c>
    </row>
    <row r="1460" spans="1:2" x14ac:dyDescent="0.35">
      <c r="A1460" s="4">
        <v>352200</v>
      </c>
      <c r="B1460" s="5" t="s">
        <v>1594</v>
      </c>
    </row>
    <row r="1461" spans="1:2" x14ac:dyDescent="0.35">
      <c r="A1461" s="4">
        <v>352400</v>
      </c>
      <c r="B1461" s="5" t="s">
        <v>1595</v>
      </c>
    </row>
    <row r="1462" spans="1:2" x14ac:dyDescent="0.35">
      <c r="A1462" s="4">
        <v>353000</v>
      </c>
      <c r="B1462" s="5" t="s">
        <v>1596</v>
      </c>
    </row>
    <row r="1463" spans="1:2" x14ac:dyDescent="0.35">
      <c r="A1463" s="4">
        <v>358000</v>
      </c>
      <c r="B1463" s="5" t="s">
        <v>1597</v>
      </c>
    </row>
    <row r="1464" spans="1:2" x14ac:dyDescent="0.35">
      <c r="A1464" s="4">
        <v>358100</v>
      </c>
      <c r="B1464" s="5" t="s">
        <v>1598</v>
      </c>
    </row>
    <row r="1465" spans="1:2" x14ac:dyDescent="0.35">
      <c r="A1465" s="4">
        <v>358200</v>
      </c>
      <c r="B1465" s="5" t="s">
        <v>1599</v>
      </c>
    </row>
    <row r="1466" spans="1:2" x14ac:dyDescent="0.35">
      <c r="A1466" s="4">
        <v>359150</v>
      </c>
      <c r="B1466" s="5" t="s">
        <v>1600</v>
      </c>
    </row>
    <row r="1467" spans="1:2" x14ac:dyDescent="0.35">
      <c r="A1467" s="4">
        <v>359200</v>
      </c>
      <c r="B1467" s="5" t="s">
        <v>1601</v>
      </c>
    </row>
    <row r="1468" spans="1:2" x14ac:dyDescent="0.35">
      <c r="A1468" s="4">
        <v>359250</v>
      </c>
      <c r="B1468" s="5" t="s">
        <v>1602</v>
      </c>
    </row>
    <row r="1469" spans="1:2" x14ac:dyDescent="0.35">
      <c r="A1469" s="4">
        <v>359260</v>
      </c>
      <c r="B1469" s="5" t="s">
        <v>1603</v>
      </c>
    </row>
    <row r="1470" spans="1:2" x14ac:dyDescent="0.35">
      <c r="A1470" s="4">
        <v>359261</v>
      </c>
      <c r="B1470" s="5" t="s">
        <v>1604</v>
      </c>
    </row>
    <row r="1471" spans="1:2" x14ac:dyDescent="0.35">
      <c r="A1471" s="4">
        <v>359262</v>
      </c>
      <c r="B1471" s="5" t="s">
        <v>1605</v>
      </c>
    </row>
    <row r="1472" spans="1:2" x14ac:dyDescent="0.35">
      <c r="A1472" s="4">
        <v>359263</v>
      </c>
      <c r="B1472" s="5" t="s">
        <v>1606</v>
      </c>
    </row>
    <row r="1473" spans="1:2" x14ac:dyDescent="0.35">
      <c r="A1473" s="4">
        <v>359264</v>
      </c>
      <c r="B1473" s="5" t="s">
        <v>1607</v>
      </c>
    </row>
    <row r="1474" spans="1:2" x14ac:dyDescent="0.35">
      <c r="A1474" s="4">
        <v>359265</v>
      </c>
      <c r="B1474" s="5" t="s">
        <v>1608</v>
      </c>
    </row>
    <row r="1475" spans="1:2" x14ac:dyDescent="0.35">
      <c r="A1475" s="4">
        <v>359266</v>
      </c>
      <c r="B1475" s="5" t="s">
        <v>1609</v>
      </c>
    </row>
    <row r="1476" spans="1:2" x14ac:dyDescent="0.35">
      <c r="A1476" s="4">
        <v>359267</v>
      </c>
      <c r="B1476" s="5" t="s">
        <v>1610</v>
      </c>
    </row>
    <row r="1477" spans="1:2" x14ac:dyDescent="0.35">
      <c r="A1477" s="4">
        <v>359268</v>
      </c>
      <c r="B1477" s="5" t="s">
        <v>1611</v>
      </c>
    </row>
    <row r="1478" spans="1:2" x14ac:dyDescent="0.35">
      <c r="A1478" s="4">
        <v>359269</v>
      </c>
      <c r="B1478" s="5" t="s">
        <v>1612</v>
      </c>
    </row>
    <row r="1479" spans="1:2" x14ac:dyDescent="0.35">
      <c r="A1479" s="4">
        <v>359270</v>
      </c>
      <c r="B1479" s="5" t="s">
        <v>1613</v>
      </c>
    </row>
    <row r="1480" spans="1:2" x14ac:dyDescent="0.35">
      <c r="A1480" s="4">
        <v>359271</v>
      </c>
      <c r="B1480" s="5" t="s">
        <v>1614</v>
      </c>
    </row>
    <row r="1481" spans="1:2" x14ac:dyDescent="0.35">
      <c r="A1481" s="4">
        <v>359272</v>
      </c>
      <c r="B1481" s="5" t="s">
        <v>1615</v>
      </c>
    </row>
    <row r="1482" spans="1:2" x14ac:dyDescent="0.35">
      <c r="A1482" s="4">
        <v>359273</v>
      </c>
      <c r="B1482" s="5" t="s">
        <v>1616</v>
      </c>
    </row>
    <row r="1483" spans="1:2" x14ac:dyDescent="0.35">
      <c r="A1483" s="4">
        <v>359274</v>
      </c>
      <c r="B1483" s="5" t="s">
        <v>1617</v>
      </c>
    </row>
    <row r="1484" spans="1:2" x14ac:dyDescent="0.35">
      <c r="A1484" s="4">
        <v>359280</v>
      </c>
      <c r="B1484" s="5" t="s">
        <v>1618</v>
      </c>
    </row>
    <row r="1485" spans="1:2" x14ac:dyDescent="0.35">
      <c r="A1485" s="4">
        <v>359290</v>
      </c>
      <c r="B1485" s="5" t="s">
        <v>1619</v>
      </c>
    </row>
    <row r="1486" spans="1:2" x14ac:dyDescent="0.35">
      <c r="A1486" s="4">
        <v>359300</v>
      </c>
      <c r="B1486" s="5" t="s">
        <v>1620</v>
      </c>
    </row>
    <row r="1487" spans="1:2" x14ac:dyDescent="0.35">
      <c r="A1487" s="4">
        <v>359310</v>
      </c>
      <c r="B1487" s="5" t="s">
        <v>1621</v>
      </c>
    </row>
    <row r="1488" spans="1:2" x14ac:dyDescent="0.35">
      <c r="A1488" s="4">
        <v>359320</v>
      </c>
      <c r="B1488" s="5" t="s">
        <v>1622</v>
      </c>
    </row>
    <row r="1489" spans="1:2" x14ac:dyDescent="0.35">
      <c r="A1489" s="4">
        <v>359330</v>
      </c>
      <c r="B1489" s="5" t="s">
        <v>1623</v>
      </c>
    </row>
    <row r="1490" spans="1:2" x14ac:dyDescent="0.35">
      <c r="A1490" s="4">
        <v>359331</v>
      </c>
      <c r="B1490" s="5" t="s">
        <v>1624</v>
      </c>
    </row>
    <row r="1491" spans="1:2" x14ac:dyDescent="0.35">
      <c r="A1491" s="4">
        <v>359350</v>
      </c>
      <c r="B1491" s="5" t="s">
        <v>1625</v>
      </c>
    </row>
    <row r="1492" spans="1:2" x14ac:dyDescent="0.35">
      <c r="A1492" s="4">
        <v>359360</v>
      </c>
      <c r="B1492" s="5" t="s">
        <v>1626</v>
      </c>
    </row>
    <row r="1493" spans="1:2" x14ac:dyDescent="0.35">
      <c r="A1493" s="4">
        <v>359362</v>
      </c>
      <c r="B1493" s="5" t="s">
        <v>1627</v>
      </c>
    </row>
    <row r="1494" spans="1:2" x14ac:dyDescent="0.35">
      <c r="A1494" s="4">
        <v>359363</v>
      </c>
      <c r="B1494" s="5" t="s">
        <v>1628</v>
      </c>
    </row>
    <row r="1495" spans="1:2" x14ac:dyDescent="0.35">
      <c r="A1495" s="4">
        <v>359370</v>
      </c>
      <c r="B1495" s="5" t="s">
        <v>1629</v>
      </c>
    </row>
    <row r="1496" spans="1:2" x14ac:dyDescent="0.35">
      <c r="A1496" s="4">
        <v>359380</v>
      </c>
      <c r="B1496" s="5" t="s">
        <v>1630</v>
      </c>
    </row>
    <row r="1497" spans="1:2" x14ac:dyDescent="0.35">
      <c r="A1497" s="4">
        <v>359400</v>
      </c>
      <c r="B1497" s="5" t="s">
        <v>1631</v>
      </c>
    </row>
    <row r="1498" spans="1:2" x14ac:dyDescent="0.35">
      <c r="A1498" s="4">
        <v>359440</v>
      </c>
      <c r="B1498" s="5" t="s">
        <v>1632</v>
      </c>
    </row>
    <row r="1499" spans="1:2" x14ac:dyDescent="0.35">
      <c r="A1499" s="4">
        <v>359450</v>
      </c>
      <c r="B1499" s="5" t="s">
        <v>1633</v>
      </c>
    </row>
    <row r="1500" spans="1:2" x14ac:dyDescent="0.35">
      <c r="A1500" s="4">
        <v>359500</v>
      </c>
      <c r="B1500" s="5" t="s">
        <v>1634</v>
      </c>
    </row>
    <row r="1501" spans="1:2" x14ac:dyDescent="0.35">
      <c r="A1501" s="4">
        <v>359550</v>
      </c>
      <c r="B1501" s="5" t="s">
        <v>1635</v>
      </c>
    </row>
    <row r="1502" spans="1:2" x14ac:dyDescent="0.35">
      <c r="A1502" s="4">
        <v>359560</v>
      </c>
      <c r="B1502" s="5" t="s">
        <v>1636</v>
      </c>
    </row>
    <row r="1503" spans="1:2" x14ac:dyDescent="0.35">
      <c r="A1503" s="4">
        <v>359900</v>
      </c>
      <c r="B1503" s="5" t="s">
        <v>1637</v>
      </c>
    </row>
    <row r="1504" spans="1:2" x14ac:dyDescent="0.35">
      <c r="A1504" s="4">
        <v>360200</v>
      </c>
      <c r="B1504" s="5" t="s">
        <v>1638</v>
      </c>
    </row>
    <row r="1505" spans="1:2" x14ac:dyDescent="0.35">
      <c r="A1505" s="4">
        <v>360300</v>
      </c>
      <c r="B1505" s="5" t="s">
        <v>1639</v>
      </c>
    </row>
    <row r="1506" spans="1:2" x14ac:dyDescent="0.35">
      <c r="A1506" s="4">
        <v>360400</v>
      </c>
      <c r="B1506" s="5" t="s">
        <v>1640</v>
      </c>
    </row>
    <row r="1507" spans="1:2" x14ac:dyDescent="0.35">
      <c r="A1507" s="4">
        <v>360900</v>
      </c>
      <c r="B1507" s="5" t="s">
        <v>1641</v>
      </c>
    </row>
    <row r="1508" spans="1:2" x14ac:dyDescent="0.35">
      <c r="A1508" s="4">
        <v>370100</v>
      </c>
      <c r="B1508" s="5" t="s">
        <v>1642</v>
      </c>
    </row>
    <row r="1509" spans="1:2" x14ac:dyDescent="0.35">
      <c r="A1509" s="4">
        <v>370200</v>
      </c>
      <c r="B1509" s="5" t="s">
        <v>1643</v>
      </c>
    </row>
    <row r="1510" spans="1:2" x14ac:dyDescent="0.35">
      <c r="A1510" s="4">
        <v>370300</v>
      </c>
      <c r="B1510" s="5" t="s">
        <v>1644</v>
      </c>
    </row>
    <row r="1511" spans="1:2" x14ac:dyDescent="0.35">
      <c r="A1511" s="4">
        <v>370400</v>
      </c>
      <c r="B1511" s="5" t="s">
        <v>1645</v>
      </c>
    </row>
    <row r="1512" spans="1:2" x14ac:dyDescent="0.35">
      <c r="A1512" s="4">
        <v>370500</v>
      </c>
      <c r="B1512" s="5" t="s">
        <v>1646</v>
      </c>
    </row>
    <row r="1513" spans="1:2" x14ac:dyDescent="0.35">
      <c r="A1513" s="4">
        <v>370600</v>
      </c>
      <c r="B1513" s="5" t="s">
        <v>1647</v>
      </c>
    </row>
    <row r="1514" spans="1:2" x14ac:dyDescent="0.35">
      <c r="A1514" s="4">
        <v>371000</v>
      </c>
      <c r="B1514" s="5" t="s">
        <v>1648</v>
      </c>
    </row>
    <row r="1515" spans="1:2" x14ac:dyDescent="0.35">
      <c r="A1515" s="4">
        <v>380200</v>
      </c>
      <c r="B1515" s="5" t="s">
        <v>1649</v>
      </c>
    </row>
    <row r="1516" spans="1:2" x14ac:dyDescent="0.35">
      <c r="A1516" s="4">
        <v>380300</v>
      </c>
      <c r="B1516" s="5" t="s">
        <v>1650</v>
      </c>
    </row>
    <row r="1517" spans="1:2" x14ac:dyDescent="0.35">
      <c r="A1517" s="4">
        <v>380400</v>
      </c>
      <c r="B1517" s="5" t="s">
        <v>1651</v>
      </c>
    </row>
    <row r="1518" spans="1:2" x14ac:dyDescent="0.35">
      <c r="A1518" s="4">
        <v>380500</v>
      </c>
      <c r="B1518" s="5" t="s">
        <v>1652</v>
      </c>
    </row>
    <row r="1519" spans="1:2" x14ac:dyDescent="0.35">
      <c r="A1519" s="4">
        <v>380600</v>
      </c>
      <c r="B1519" s="5" t="s">
        <v>1653</v>
      </c>
    </row>
    <row r="1520" spans="1:2" x14ac:dyDescent="0.35">
      <c r="A1520" s="4">
        <v>380700</v>
      </c>
      <c r="B1520" s="5" t="s">
        <v>1654</v>
      </c>
    </row>
    <row r="1521" spans="1:2" x14ac:dyDescent="0.35">
      <c r="A1521" s="4">
        <v>380800</v>
      </c>
      <c r="B1521" s="5" t="s">
        <v>1655</v>
      </c>
    </row>
    <row r="1522" spans="1:2" x14ac:dyDescent="0.35">
      <c r="A1522" s="4">
        <v>380900</v>
      </c>
      <c r="B1522" s="5" t="s">
        <v>1656</v>
      </c>
    </row>
    <row r="1523" spans="1:2" x14ac:dyDescent="0.35">
      <c r="A1523" s="4">
        <v>381000</v>
      </c>
      <c r="B1523" s="5" t="s">
        <v>1657</v>
      </c>
    </row>
    <row r="1524" spans="1:2" x14ac:dyDescent="0.35">
      <c r="A1524" s="4">
        <v>391000</v>
      </c>
      <c r="B1524" s="5" t="s">
        <v>1658</v>
      </c>
    </row>
    <row r="1525" spans="1:2" x14ac:dyDescent="0.35">
      <c r="A1525" s="4">
        <v>391200</v>
      </c>
      <c r="B1525" s="5" t="s">
        <v>1659</v>
      </c>
    </row>
    <row r="1526" spans="1:2" x14ac:dyDescent="0.35">
      <c r="A1526" s="4">
        <v>391300</v>
      </c>
      <c r="B1526" s="5" t="s">
        <v>1660</v>
      </c>
    </row>
    <row r="1527" spans="1:2" x14ac:dyDescent="0.35">
      <c r="A1527" s="4">
        <v>391400</v>
      </c>
      <c r="B1527" s="5" t="s">
        <v>1661</v>
      </c>
    </row>
    <row r="1528" spans="1:2" x14ac:dyDescent="0.35">
      <c r="A1528" s="4">
        <v>391410</v>
      </c>
      <c r="B1528" s="5" t="s">
        <v>1662</v>
      </c>
    </row>
    <row r="1529" spans="1:2" x14ac:dyDescent="0.35">
      <c r="A1529" s="4">
        <v>391500</v>
      </c>
      <c r="B1529" s="5" t="s">
        <v>1663</v>
      </c>
    </row>
    <row r="1530" spans="1:2" x14ac:dyDescent="0.35">
      <c r="A1530" s="4">
        <v>392200</v>
      </c>
      <c r="B1530" s="5" t="s">
        <v>1664</v>
      </c>
    </row>
    <row r="1531" spans="1:2" x14ac:dyDescent="0.35">
      <c r="A1531" s="4">
        <v>392400</v>
      </c>
      <c r="B1531" s="5" t="s">
        <v>1665</v>
      </c>
    </row>
    <row r="1532" spans="1:2" x14ac:dyDescent="0.35">
      <c r="A1532" s="4">
        <v>392500</v>
      </c>
      <c r="B1532" s="5" t="s">
        <v>1666</v>
      </c>
    </row>
    <row r="1533" spans="1:2" x14ac:dyDescent="0.35">
      <c r="A1533" s="4">
        <v>393100</v>
      </c>
      <c r="B1533" s="5" t="s">
        <v>1667</v>
      </c>
    </row>
    <row r="1534" spans="1:2" x14ac:dyDescent="0.35">
      <c r="A1534" s="4">
        <v>393200</v>
      </c>
      <c r="B1534" s="5" t="s">
        <v>1668</v>
      </c>
    </row>
    <row r="1535" spans="1:2" x14ac:dyDescent="0.35">
      <c r="A1535" s="4">
        <v>393300</v>
      </c>
      <c r="B1535" s="5" t="s">
        <v>1669</v>
      </c>
    </row>
    <row r="1536" spans="1:2" x14ac:dyDescent="0.35">
      <c r="A1536" s="4">
        <v>393400</v>
      </c>
      <c r="B1536" s="5" t="s">
        <v>1670</v>
      </c>
    </row>
    <row r="1537" spans="1:2" x14ac:dyDescent="0.35">
      <c r="A1537" s="4">
        <v>393500</v>
      </c>
      <c r="B1537" s="5" t="s">
        <v>1671</v>
      </c>
    </row>
    <row r="1538" spans="1:2" x14ac:dyDescent="0.35">
      <c r="A1538" s="4">
        <v>393600</v>
      </c>
      <c r="B1538" s="5" t="s">
        <v>1672</v>
      </c>
    </row>
    <row r="1539" spans="1:2" x14ac:dyDescent="0.35">
      <c r="A1539" s="4">
        <v>393900</v>
      </c>
      <c r="B1539" s="5" t="s">
        <v>1673</v>
      </c>
    </row>
    <row r="1540" spans="1:2" x14ac:dyDescent="0.35">
      <c r="A1540" s="4">
        <v>394100</v>
      </c>
      <c r="B1540" s="5" t="s">
        <v>1674</v>
      </c>
    </row>
    <row r="1541" spans="1:2" x14ac:dyDescent="0.35">
      <c r="A1541" s="4">
        <v>394200</v>
      </c>
      <c r="B1541" s="5" t="s">
        <v>1675</v>
      </c>
    </row>
    <row r="1542" spans="1:2" x14ac:dyDescent="0.35">
      <c r="A1542" s="4">
        <v>394300</v>
      </c>
      <c r="B1542" s="5" t="s">
        <v>1676</v>
      </c>
    </row>
    <row r="1543" spans="1:2" x14ac:dyDescent="0.35">
      <c r="A1543" s="4">
        <v>394400</v>
      </c>
      <c r="B1543" s="5" t="s">
        <v>1677</v>
      </c>
    </row>
    <row r="1544" spans="1:2" x14ac:dyDescent="0.35">
      <c r="A1544" s="4">
        <v>394500</v>
      </c>
      <c r="B1544" s="5" t="s">
        <v>1678</v>
      </c>
    </row>
    <row r="1545" spans="1:2" x14ac:dyDescent="0.35">
      <c r="A1545" s="4">
        <v>394600</v>
      </c>
      <c r="B1545" s="5" t="s">
        <v>1679</v>
      </c>
    </row>
    <row r="1546" spans="1:2" x14ac:dyDescent="0.35">
      <c r="A1546" s="4">
        <v>394700</v>
      </c>
      <c r="B1546" s="5" t="s">
        <v>1680</v>
      </c>
    </row>
    <row r="1547" spans="1:2" x14ac:dyDescent="0.35">
      <c r="A1547" s="4">
        <v>394900</v>
      </c>
      <c r="B1547" s="5" t="s">
        <v>1681</v>
      </c>
    </row>
    <row r="1548" spans="1:2" x14ac:dyDescent="0.35">
      <c r="A1548" s="4">
        <v>395200</v>
      </c>
      <c r="B1548" s="5" t="s">
        <v>1682</v>
      </c>
    </row>
    <row r="1549" spans="1:2" x14ac:dyDescent="0.35">
      <c r="A1549" s="4">
        <v>395400</v>
      </c>
      <c r="B1549" s="5" t="s">
        <v>1683</v>
      </c>
    </row>
    <row r="1550" spans="1:2" x14ac:dyDescent="0.35">
      <c r="A1550" s="4">
        <v>398010</v>
      </c>
      <c r="B1550" s="5" t="s">
        <v>1684</v>
      </c>
    </row>
    <row r="1551" spans="1:2" x14ac:dyDescent="0.35">
      <c r="A1551" s="4">
        <v>398020</v>
      </c>
      <c r="B1551" s="5" t="s">
        <v>1685</v>
      </c>
    </row>
    <row r="1552" spans="1:2" x14ac:dyDescent="0.35">
      <c r="A1552" s="4">
        <v>399200</v>
      </c>
      <c r="B1552" s="5" t="s">
        <v>1686</v>
      </c>
    </row>
    <row r="1553" spans="1:2" x14ac:dyDescent="0.35">
      <c r="A1553" s="4">
        <v>399250</v>
      </c>
      <c r="B1553" s="5" t="s">
        <v>1687</v>
      </c>
    </row>
    <row r="1554" spans="1:2" x14ac:dyDescent="0.35">
      <c r="A1554" s="4">
        <v>399300</v>
      </c>
      <c r="B1554" s="5" t="s">
        <v>1688</v>
      </c>
    </row>
    <row r="1555" spans="1:2" x14ac:dyDescent="0.35">
      <c r="A1555" s="4">
        <v>399350</v>
      </c>
      <c r="B1555" s="5" t="s">
        <v>1689</v>
      </c>
    </row>
    <row r="1556" spans="1:2" x14ac:dyDescent="0.35">
      <c r="A1556" s="4">
        <v>399400</v>
      </c>
      <c r="B1556" s="5" t="s">
        <v>1690</v>
      </c>
    </row>
    <row r="1557" spans="1:2" x14ac:dyDescent="0.35">
      <c r="A1557" s="4">
        <v>399450</v>
      </c>
      <c r="B1557" s="5" t="s">
        <v>1691</v>
      </c>
    </row>
    <row r="1558" spans="1:2" x14ac:dyDescent="0.35">
      <c r="A1558" s="4">
        <v>399500</v>
      </c>
      <c r="B1558" s="5" t="s">
        <v>1692</v>
      </c>
    </row>
    <row r="1559" spans="1:2" x14ac:dyDescent="0.35">
      <c r="A1559" s="4">
        <v>399510</v>
      </c>
      <c r="B1559" s="5" t="s">
        <v>1693</v>
      </c>
    </row>
    <row r="1560" spans="1:2" x14ac:dyDescent="0.35">
      <c r="A1560" s="4">
        <v>399520</v>
      </c>
      <c r="B1560" s="5" t="s">
        <v>1694</v>
      </c>
    </row>
    <row r="1561" spans="1:2" x14ac:dyDescent="0.35">
      <c r="A1561" s="4">
        <v>399540</v>
      </c>
      <c r="B1561" s="5" t="s">
        <v>1695</v>
      </c>
    </row>
    <row r="1562" spans="1:2" x14ac:dyDescent="0.35">
      <c r="A1562" s="4">
        <v>399550</v>
      </c>
      <c r="B1562" s="5" t="s">
        <v>1696</v>
      </c>
    </row>
    <row r="1563" spans="1:2" x14ac:dyDescent="0.35">
      <c r="A1563" s="4">
        <v>399560</v>
      </c>
      <c r="B1563" s="5" t="s">
        <v>1697</v>
      </c>
    </row>
    <row r="1564" spans="1:2" x14ac:dyDescent="0.35">
      <c r="A1564" s="4">
        <v>399900</v>
      </c>
      <c r="B1564" s="5" t="s">
        <v>1698</v>
      </c>
    </row>
    <row r="1565" spans="1:2" x14ac:dyDescent="0.35">
      <c r="A1565" s="4">
        <v>400200</v>
      </c>
      <c r="B1565" s="5" t="s">
        <v>1699</v>
      </c>
    </row>
    <row r="1566" spans="1:2" x14ac:dyDescent="0.35">
      <c r="A1566" s="4">
        <v>400400</v>
      </c>
      <c r="B1566" s="5" t="s">
        <v>1700</v>
      </c>
    </row>
    <row r="1567" spans="1:2" x14ac:dyDescent="0.35">
      <c r="A1567" s="4">
        <v>410200</v>
      </c>
      <c r="B1567" s="5" t="s">
        <v>1701</v>
      </c>
    </row>
    <row r="1568" spans="1:2" x14ac:dyDescent="0.35">
      <c r="A1568" s="4">
        <v>410400</v>
      </c>
      <c r="B1568" s="5" t="s">
        <v>1702</v>
      </c>
    </row>
    <row r="1569" spans="1:2" x14ac:dyDescent="0.35">
      <c r="A1569" s="4">
        <v>421100</v>
      </c>
      <c r="B1569" s="5" t="s">
        <v>1703</v>
      </c>
    </row>
    <row r="1570" spans="1:2" x14ac:dyDescent="0.35">
      <c r="A1570" s="4">
        <v>421200</v>
      </c>
      <c r="B1570" s="5" t="s">
        <v>1704</v>
      </c>
    </row>
    <row r="1571" spans="1:2" x14ac:dyDescent="0.35">
      <c r="A1571" s="4">
        <v>421300</v>
      </c>
      <c r="B1571" s="5" t="s">
        <v>1705</v>
      </c>
    </row>
    <row r="1572" spans="1:2" x14ac:dyDescent="0.35">
      <c r="A1572" s="4">
        <v>421400</v>
      </c>
      <c r="B1572" s="5" t="s">
        <v>1706</v>
      </c>
    </row>
    <row r="1573" spans="1:2" x14ac:dyDescent="0.35">
      <c r="A1573" s="4">
        <v>421500</v>
      </c>
      <c r="B1573" s="5" t="s">
        <v>1707</v>
      </c>
    </row>
    <row r="1574" spans="1:2" x14ac:dyDescent="0.35">
      <c r="A1574" s="4">
        <v>421510</v>
      </c>
      <c r="B1574" s="5" t="s">
        <v>1708</v>
      </c>
    </row>
    <row r="1575" spans="1:2" x14ac:dyDescent="0.35">
      <c r="A1575" s="4">
        <v>421600</v>
      </c>
      <c r="B1575" s="5" t="s">
        <v>1709</v>
      </c>
    </row>
    <row r="1576" spans="1:2" x14ac:dyDescent="0.35">
      <c r="A1576" s="4">
        <v>421700</v>
      </c>
      <c r="B1576" s="5" t="s">
        <v>1710</v>
      </c>
    </row>
    <row r="1577" spans="1:2" x14ac:dyDescent="0.35">
      <c r="A1577" s="4">
        <v>421710</v>
      </c>
      <c r="B1577" s="5" t="s">
        <v>1711</v>
      </c>
    </row>
    <row r="1578" spans="1:2" x14ac:dyDescent="0.35">
      <c r="A1578" s="4">
        <v>421711</v>
      </c>
      <c r="B1578" s="5" t="s">
        <v>348</v>
      </c>
    </row>
    <row r="1579" spans="1:2" x14ac:dyDescent="0.35">
      <c r="A1579" s="4">
        <v>421720</v>
      </c>
      <c r="B1579" s="5" t="s">
        <v>1712</v>
      </c>
    </row>
    <row r="1580" spans="1:2" x14ac:dyDescent="0.35">
      <c r="A1580" s="4">
        <v>421730</v>
      </c>
      <c r="B1580" s="5" t="s">
        <v>1713</v>
      </c>
    </row>
    <row r="1581" spans="1:2" x14ac:dyDescent="0.35">
      <c r="A1581" s="4">
        <v>421740</v>
      </c>
      <c r="B1581" s="5" t="s">
        <v>1714</v>
      </c>
    </row>
    <row r="1582" spans="1:2" x14ac:dyDescent="0.35">
      <c r="A1582" s="4">
        <v>421750</v>
      </c>
      <c r="B1582" s="5" t="s">
        <v>1715</v>
      </c>
    </row>
    <row r="1583" spans="1:2" x14ac:dyDescent="0.35">
      <c r="A1583" s="4">
        <v>421760</v>
      </c>
      <c r="B1583" s="5" t="s">
        <v>1716</v>
      </c>
    </row>
    <row r="1584" spans="1:2" x14ac:dyDescent="0.35">
      <c r="A1584" s="4">
        <v>421770</v>
      </c>
      <c r="B1584" s="5" t="s">
        <v>1717</v>
      </c>
    </row>
    <row r="1585" spans="1:2" x14ac:dyDescent="0.35">
      <c r="A1585" s="4">
        <v>421780</v>
      </c>
      <c r="B1585" s="5" t="s">
        <v>1718</v>
      </c>
    </row>
    <row r="1586" spans="1:2" x14ac:dyDescent="0.35">
      <c r="A1586" s="4">
        <v>421790</v>
      </c>
      <c r="B1586" s="5" t="s">
        <v>1719</v>
      </c>
    </row>
    <row r="1587" spans="1:2" x14ac:dyDescent="0.35">
      <c r="A1587" s="4">
        <v>421800</v>
      </c>
      <c r="B1587" s="5" t="s">
        <v>1720</v>
      </c>
    </row>
    <row r="1588" spans="1:2" x14ac:dyDescent="0.35">
      <c r="A1588" s="4">
        <v>421810</v>
      </c>
      <c r="B1588" s="5" t="s">
        <v>1721</v>
      </c>
    </row>
    <row r="1589" spans="1:2" x14ac:dyDescent="0.35">
      <c r="A1589" s="4">
        <v>421820</v>
      </c>
      <c r="B1589" s="5" t="s">
        <v>1722</v>
      </c>
    </row>
    <row r="1590" spans="1:2" x14ac:dyDescent="0.35">
      <c r="A1590" s="4">
        <v>421830</v>
      </c>
      <c r="B1590" s="5" t="s">
        <v>1723</v>
      </c>
    </row>
    <row r="1591" spans="1:2" x14ac:dyDescent="0.35">
      <c r="A1591" s="4">
        <v>421840</v>
      </c>
      <c r="B1591" s="5" t="s">
        <v>1724</v>
      </c>
    </row>
    <row r="1592" spans="1:2" x14ac:dyDescent="0.35">
      <c r="A1592" s="4">
        <v>421910</v>
      </c>
      <c r="B1592" s="5" t="s">
        <v>1725</v>
      </c>
    </row>
    <row r="1593" spans="1:2" x14ac:dyDescent="0.35">
      <c r="A1593" s="4">
        <v>421920</v>
      </c>
      <c r="B1593" s="5" t="s">
        <v>1726</v>
      </c>
    </row>
    <row r="1594" spans="1:2" x14ac:dyDescent="0.35">
      <c r="A1594" s="4">
        <v>421930</v>
      </c>
      <c r="B1594" s="5" t="s">
        <v>1727</v>
      </c>
    </row>
    <row r="1595" spans="1:2" x14ac:dyDescent="0.35">
      <c r="A1595" s="4">
        <v>421940</v>
      </c>
      <c r="B1595" s="5" t="s">
        <v>1728</v>
      </c>
    </row>
    <row r="1596" spans="1:2" x14ac:dyDescent="0.35">
      <c r="A1596" s="4">
        <v>421950</v>
      </c>
      <c r="B1596" s="5" t="s">
        <v>1729</v>
      </c>
    </row>
    <row r="1597" spans="1:2" x14ac:dyDescent="0.35">
      <c r="A1597" s="4">
        <v>421960</v>
      </c>
      <c r="B1597" s="5" t="s">
        <v>1730</v>
      </c>
    </row>
    <row r="1598" spans="1:2" x14ac:dyDescent="0.35">
      <c r="A1598" s="4">
        <v>421970</v>
      </c>
      <c r="B1598" s="5" t="s">
        <v>1731</v>
      </c>
    </row>
    <row r="1599" spans="1:2" x14ac:dyDescent="0.35">
      <c r="A1599" s="4">
        <v>421980</v>
      </c>
      <c r="B1599" s="5" t="s">
        <v>1732</v>
      </c>
    </row>
    <row r="1600" spans="1:2" x14ac:dyDescent="0.35">
      <c r="A1600" s="4">
        <v>422000</v>
      </c>
      <c r="B1600" s="5" t="s">
        <v>1733</v>
      </c>
    </row>
    <row r="1601" spans="1:2" x14ac:dyDescent="0.35">
      <c r="A1601" s="4">
        <v>422100</v>
      </c>
      <c r="B1601" s="5" t="s">
        <v>1734</v>
      </c>
    </row>
    <row r="1602" spans="1:2" x14ac:dyDescent="0.35">
      <c r="A1602" s="4">
        <v>422110</v>
      </c>
      <c r="B1602" s="5" t="s">
        <v>1735</v>
      </c>
    </row>
    <row r="1603" spans="1:2" x14ac:dyDescent="0.35">
      <c r="A1603" s="4">
        <v>422120</v>
      </c>
      <c r="B1603" s="5" t="s">
        <v>1736</v>
      </c>
    </row>
    <row r="1604" spans="1:2" x14ac:dyDescent="0.35">
      <c r="A1604" s="4">
        <v>422130</v>
      </c>
      <c r="B1604" s="5" t="s">
        <v>1737</v>
      </c>
    </row>
    <row r="1605" spans="1:2" x14ac:dyDescent="0.35">
      <c r="A1605" s="4">
        <v>422200</v>
      </c>
      <c r="B1605" s="5" t="s">
        <v>1738</v>
      </c>
    </row>
    <row r="1606" spans="1:2" x14ac:dyDescent="0.35">
      <c r="A1606" s="4">
        <v>423000</v>
      </c>
      <c r="B1606" s="5" t="s">
        <v>1739</v>
      </c>
    </row>
    <row r="1607" spans="1:2" x14ac:dyDescent="0.35">
      <c r="A1607" s="4">
        <v>423400</v>
      </c>
      <c r="B1607" s="5" t="s">
        <v>1740</v>
      </c>
    </row>
    <row r="1608" spans="1:2" x14ac:dyDescent="0.35">
      <c r="A1608" s="4">
        <v>423500</v>
      </c>
      <c r="B1608" s="5" t="s">
        <v>1741</v>
      </c>
    </row>
    <row r="1609" spans="1:2" x14ac:dyDescent="0.35">
      <c r="A1609" s="4">
        <v>423600</v>
      </c>
      <c r="B1609" s="5" t="s">
        <v>1742</v>
      </c>
    </row>
    <row r="1610" spans="1:2" x14ac:dyDescent="0.35">
      <c r="A1610" s="4">
        <v>423700</v>
      </c>
      <c r="B1610" s="5" t="s">
        <v>1743</v>
      </c>
    </row>
    <row r="1611" spans="1:2" x14ac:dyDescent="0.35">
      <c r="A1611" s="4">
        <v>431200</v>
      </c>
      <c r="B1611" s="5" t="s">
        <v>1744</v>
      </c>
    </row>
    <row r="1612" spans="1:2" x14ac:dyDescent="0.35">
      <c r="A1612" s="4">
        <v>431400</v>
      </c>
      <c r="B1612" s="5" t="s">
        <v>1745</v>
      </c>
    </row>
    <row r="1613" spans="1:2" x14ac:dyDescent="0.35">
      <c r="A1613" s="4">
        <v>432000</v>
      </c>
      <c r="B1613" s="5" t="s">
        <v>1746</v>
      </c>
    </row>
    <row r="1614" spans="1:2" x14ac:dyDescent="0.35">
      <c r="A1614" s="4">
        <v>432100</v>
      </c>
      <c r="B1614" s="5" t="s">
        <v>1747</v>
      </c>
    </row>
    <row r="1615" spans="1:2" x14ac:dyDescent="0.35">
      <c r="A1615" s="4">
        <v>432200</v>
      </c>
      <c r="B1615" s="5" t="s">
        <v>1748</v>
      </c>
    </row>
    <row r="1616" spans="1:2" x14ac:dyDescent="0.35">
      <c r="A1616" s="4">
        <v>432300</v>
      </c>
      <c r="B1616" s="5" t="s">
        <v>1749</v>
      </c>
    </row>
    <row r="1617" spans="1:2" x14ac:dyDescent="0.35">
      <c r="A1617" s="4">
        <v>432400</v>
      </c>
      <c r="B1617" s="5" t="s">
        <v>1750</v>
      </c>
    </row>
    <row r="1618" spans="1:2" x14ac:dyDescent="0.35">
      <c r="A1618" s="4">
        <v>432500</v>
      </c>
      <c r="B1618" s="5" t="s">
        <v>1751</v>
      </c>
    </row>
    <row r="1619" spans="1:2" x14ac:dyDescent="0.35">
      <c r="A1619" s="4">
        <v>432600</v>
      </c>
      <c r="B1619" s="5" t="s">
        <v>1752</v>
      </c>
    </row>
    <row r="1620" spans="1:2" x14ac:dyDescent="0.35">
      <c r="A1620" s="4">
        <v>432700</v>
      </c>
      <c r="B1620" s="5" t="s">
        <v>409</v>
      </c>
    </row>
    <row r="1621" spans="1:2" x14ac:dyDescent="0.35">
      <c r="A1621" s="4">
        <v>432800</v>
      </c>
      <c r="B1621" s="5" t="s">
        <v>289</v>
      </c>
    </row>
    <row r="1622" spans="1:2" x14ac:dyDescent="0.35">
      <c r="A1622" s="4">
        <v>432900</v>
      </c>
      <c r="B1622" s="5" t="s">
        <v>1753</v>
      </c>
    </row>
    <row r="1623" spans="1:2" x14ac:dyDescent="0.35">
      <c r="A1623" s="4">
        <v>441200</v>
      </c>
      <c r="B1623" s="5" t="s">
        <v>1754</v>
      </c>
    </row>
    <row r="1624" spans="1:2" x14ac:dyDescent="0.35">
      <c r="A1624" s="4">
        <v>441300</v>
      </c>
      <c r="B1624" s="5" t="s">
        <v>1755</v>
      </c>
    </row>
    <row r="1625" spans="1:2" x14ac:dyDescent="0.35">
      <c r="A1625" s="4">
        <v>441400</v>
      </c>
      <c r="B1625" s="5" t="s">
        <v>1756</v>
      </c>
    </row>
    <row r="1626" spans="1:2" x14ac:dyDescent="0.35">
      <c r="A1626" s="4">
        <v>441900</v>
      </c>
      <c r="B1626" s="5" t="s">
        <v>1757</v>
      </c>
    </row>
    <row r="1627" spans="1:2" x14ac:dyDescent="0.35">
      <c r="A1627" s="4">
        <v>442200</v>
      </c>
      <c r="B1627" s="5" t="s">
        <v>1758</v>
      </c>
    </row>
    <row r="1628" spans="1:2" x14ac:dyDescent="0.35">
      <c r="A1628" s="4">
        <v>442400</v>
      </c>
      <c r="B1628" s="5" t="s">
        <v>1759</v>
      </c>
    </row>
    <row r="1629" spans="1:2" x14ac:dyDescent="0.35">
      <c r="A1629" s="4">
        <v>443000</v>
      </c>
      <c r="B1629" s="5" t="s">
        <v>1760</v>
      </c>
    </row>
    <row r="1630" spans="1:2" x14ac:dyDescent="0.35">
      <c r="A1630" s="4">
        <v>443100</v>
      </c>
      <c r="B1630" s="5" t="s">
        <v>1761</v>
      </c>
    </row>
    <row r="1631" spans="1:2" x14ac:dyDescent="0.35">
      <c r="A1631" s="4">
        <v>443200</v>
      </c>
      <c r="B1631" s="5" t="s">
        <v>1762</v>
      </c>
    </row>
    <row r="1632" spans="1:2" x14ac:dyDescent="0.35">
      <c r="A1632" s="4">
        <v>450000</v>
      </c>
      <c r="B1632" s="5" t="s">
        <v>1763</v>
      </c>
    </row>
    <row r="1633" spans="1:2" x14ac:dyDescent="0.35">
      <c r="A1633" s="4">
        <v>451200</v>
      </c>
      <c r="B1633" s="5" t="s">
        <v>1764</v>
      </c>
    </row>
    <row r="1634" spans="1:2" x14ac:dyDescent="0.35">
      <c r="A1634" s="4">
        <v>451300</v>
      </c>
      <c r="B1634" s="5" t="s">
        <v>1765</v>
      </c>
    </row>
    <row r="1635" spans="1:2" x14ac:dyDescent="0.35">
      <c r="A1635" s="4">
        <v>451400</v>
      </c>
      <c r="B1635" s="5" t="s">
        <v>1766</v>
      </c>
    </row>
    <row r="1636" spans="1:2" x14ac:dyDescent="0.35">
      <c r="A1636" s="4">
        <v>451500</v>
      </c>
      <c r="B1636" s="5" t="s">
        <v>1767</v>
      </c>
    </row>
    <row r="1637" spans="1:2" x14ac:dyDescent="0.35">
      <c r="A1637" s="4">
        <v>451600</v>
      </c>
      <c r="B1637" s="5" t="s">
        <v>1768</v>
      </c>
    </row>
    <row r="1638" spans="1:2" x14ac:dyDescent="0.35">
      <c r="A1638" s="4">
        <v>451700</v>
      </c>
      <c r="B1638" s="5" t="s">
        <v>1769</v>
      </c>
    </row>
    <row r="1639" spans="1:2" x14ac:dyDescent="0.35">
      <c r="A1639" s="4">
        <v>451900</v>
      </c>
      <c r="B1639" s="5" t="s">
        <v>1770</v>
      </c>
    </row>
    <row r="1640" spans="1:2" x14ac:dyDescent="0.35">
      <c r="A1640" s="4">
        <v>452200</v>
      </c>
      <c r="B1640" s="5" t="s">
        <v>1771</v>
      </c>
    </row>
    <row r="1641" spans="1:2" x14ac:dyDescent="0.35">
      <c r="A1641" s="4">
        <v>452300</v>
      </c>
      <c r="B1641" s="5" t="s">
        <v>1772</v>
      </c>
    </row>
    <row r="1642" spans="1:2" x14ac:dyDescent="0.35">
      <c r="A1642" s="4">
        <v>452400</v>
      </c>
      <c r="B1642" s="5" t="s">
        <v>1773</v>
      </c>
    </row>
    <row r="1643" spans="1:2" x14ac:dyDescent="0.35">
      <c r="A1643" s="4">
        <v>452500</v>
      </c>
      <c r="B1643" s="5" t="s">
        <v>1774</v>
      </c>
    </row>
    <row r="1644" spans="1:2" x14ac:dyDescent="0.35">
      <c r="A1644" s="4">
        <v>452600</v>
      </c>
      <c r="B1644" s="5" t="s">
        <v>1775</v>
      </c>
    </row>
    <row r="1645" spans="1:2" x14ac:dyDescent="0.35">
      <c r="A1645" s="4">
        <v>452700</v>
      </c>
      <c r="B1645" s="5" t="s">
        <v>1776</v>
      </c>
    </row>
    <row r="1646" spans="1:2" x14ac:dyDescent="0.35">
      <c r="A1646" s="4">
        <v>452900</v>
      </c>
      <c r="B1646" s="5" t="s">
        <v>1777</v>
      </c>
    </row>
    <row r="1647" spans="1:2" x14ac:dyDescent="0.35">
      <c r="A1647" s="4">
        <v>490100</v>
      </c>
      <c r="B1647" s="5" t="s">
        <v>1778</v>
      </c>
    </row>
    <row r="1648" spans="1:2" x14ac:dyDescent="0.35">
      <c r="A1648" s="4">
        <v>490200</v>
      </c>
      <c r="B1648" s="5" t="s">
        <v>1779</v>
      </c>
    </row>
    <row r="1649" spans="1:2" x14ac:dyDescent="0.35">
      <c r="A1649" s="4">
        <v>490300</v>
      </c>
      <c r="B1649" s="5" t="s">
        <v>1780</v>
      </c>
    </row>
    <row r="1650" spans="1:2" x14ac:dyDescent="0.35">
      <c r="A1650" s="4">
        <v>490900</v>
      </c>
      <c r="B1650" s="5" t="s">
        <v>1781</v>
      </c>
    </row>
    <row r="1651" spans="1:2" x14ac:dyDescent="0.35">
      <c r="A1651" s="4">
        <v>500000</v>
      </c>
      <c r="B1651" s="5" t="s">
        <v>1782</v>
      </c>
    </row>
    <row r="1652" spans="1:2" x14ac:dyDescent="0.35">
      <c r="A1652" s="4">
        <v>500500</v>
      </c>
      <c r="B1652" s="5" t="s">
        <v>1783</v>
      </c>
    </row>
    <row r="1653" spans="1:2" x14ac:dyDescent="0.35">
      <c r="A1653" s="4">
        <v>500600</v>
      </c>
      <c r="B1653" s="5" t="s">
        <v>1784</v>
      </c>
    </row>
    <row r="1654" spans="1:2" x14ac:dyDescent="0.35">
      <c r="A1654" s="4">
        <v>500700</v>
      </c>
      <c r="B1654" s="5" t="s">
        <v>1785</v>
      </c>
    </row>
    <row r="1655" spans="1:2" x14ac:dyDescent="0.35">
      <c r="A1655" s="4">
        <v>500800</v>
      </c>
      <c r="B1655" s="5" t="s">
        <v>1786</v>
      </c>
    </row>
    <row r="1656" spans="1:2" x14ac:dyDescent="0.35">
      <c r="A1656" s="4">
        <v>500900</v>
      </c>
      <c r="B1656" s="5" t="s">
        <v>1787</v>
      </c>
    </row>
    <row r="1657" spans="1:2" x14ac:dyDescent="0.35">
      <c r="A1657" s="4">
        <v>501200</v>
      </c>
      <c r="B1657" s="5" t="s">
        <v>1788</v>
      </c>
    </row>
    <row r="1658" spans="1:2" x14ac:dyDescent="0.35">
      <c r="A1658" s="4">
        <v>501210</v>
      </c>
      <c r="B1658" s="5" t="s">
        <v>1789</v>
      </c>
    </row>
    <row r="1659" spans="1:2" x14ac:dyDescent="0.35">
      <c r="A1659" s="4">
        <v>501300</v>
      </c>
      <c r="B1659" s="5" t="s">
        <v>1790</v>
      </c>
    </row>
    <row r="1660" spans="1:2" x14ac:dyDescent="0.35">
      <c r="A1660" s="4">
        <v>501310</v>
      </c>
      <c r="B1660" s="5" t="s">
        <v>1791</v>
      </c>
    </row>
    <row r="1661" spans="1:2" x14ac:dyDescent="0.35">
      <c r="A1661" s="4">
        <v>501320</v>
      </c>
      <c r="B1661" s="5" t="s">
        <v>1792</v>
      </c>
    </row>
    <row r="1662" spans="1:2" x14ac:dyDescent="0.35">
      <c r="A1662" s="4">
        <v>501390</v>
      </c>
      <c r="B1662" s="5" t="s">
        <v>1793</v>
      </c>
    </row>
    <row r="1663" spans="1:2" x14ac:dyDescent="0.35">
      <c r="A1663" s="4">
        <v>501400</v>
      </c>
      <c r="B1663" s="5" t="s">
        <v>1794</v>
      </c>
    </row>
    <row r="1664" spans="1:2" x14ac:dyDescent="0.35">
      <c r="A1664" s="4">
        <v>501410</v>
      </c>
      <c r="B1664" s="5" t="s">
        <v>1795</v>
      </c>
    </row>
    <row r="1665" spans="1:2" x14ac:dyDescent="0.35">
      <c r="A1665" s="4">
        <v>501500</v>
      </c>
      <c r="B1665" s="5" t="s">
        <v>1796</v>
      </c>
    </row>
    <row r="1666" spans="1:2" x14ac:dyDescent="0.35">
      <c r="A1666" s="4">
        <v>501510</v>
      </c>
      <c r="B1666" s="5" t="s">
        <v>1797</v>
      </c>
    </row>
    <row r="1667" spans="1:2" x14ac:dyDescent="0.35">
      <c r="A1667" s="4">
        <v>501511</v>
      </c>
      <c r="B1667" s="5" t="s">
        <v>1798</v>
      </c>
    </row>
    <row r="1668" spans="1:2" x14ac:dyDescent="0.35">
      <c r="A1668" s="4">
        <v>501600</v>
      </c>
      <c r="B1668" s="5" t="s">
        <v>1799</v>
      </c>
    </row>
    <row r="1669" spans="1:2" x14ac:dyDescent="0.35">
      <c r="A1669" s="4">
        <v>501601</v>
      </c>
      <c r="B1669" s="5" t="s">
        <v>1800</v>
      </c>
    </row>
    <row r="1670" spans="1:2" x14ac:dyDescent="0.35">
      <c r="A1670" s="4">
        <v>501610</v>
      </c>
      <c r="B1670" s="5" t="s">
        <v>1801</v>
      </c>
    </row>
    <row r="1671" spans="1:2" x14ac:dyDescent="0.35">
      <c r="A1671" s="4">
        <v>501620</v>
      </c>
      <c r="B1671" s="5" t="s">
        <v>1802</v>
      </c>
    </row>
    <row r="1672" spans="1:2" x14ac:dyDescent="0.35">
      <c r="A1672" s="4">
        <v>501621</v>
      </c>
      <c r="B1672" s="5" t="s">
        <v>1803</v>
      </c>
    </row>
    <row r="1673" spans="1:2" x14ac:dyDescent="0.35">
      <c r="A1673" s="4">
        <v>501630</v>
      </c>
      <c r="B1673" s="5" t="s">
        <v>1804</v>
      </c>
    </row>
    <row r="1674" spans="1:2" x14ac:dyDescent="0.35">
      <c r="A1674" s="4">
        <v>501650</v>
      </c>
      <c r="B1674" s="5" t="s">
        <v>1805</v>
      </c>
    </row>
    <row r="1675" spans="1:2" x14ac:dyDescent="0.35">
      <c r="A1675" s="4">
        <v>501700</v>
      </c>
      <c r="B1675" s="5" t="s">
        <v>1806</v>
      </c>
    </row>
    <row r="1676" spans="1:2" x14ac:dyDescent="0.35">
      <c r="A1676" s="4">
        <v>501710</v>
      </c>
      <c r="B1676" s="5" t="s">
        <v>1807</v>
      </c>
    </row>
    <row r="1677" spans="1:2" x14ac:dyDescent="0.35">
      <c r="A1677" s="4">
        <v>501720</v>
      </c>
      <c r="B1677" s="5" t="s">
        <v>1808</v>
      </c>
    </row>
    <row r="1678" spans="1:2" x14ac:dyDescent="0.35">
      <c r="A1678" s="4">
        <v>501800</v>
      </c>
      <c r="B1678" s="5" t="s">
        <v>1809</v>
      </c>
    </row>
    <row r="1679" spans="1:2" x14ac:dyDescent="0.35">
      <c r="A1679" s="4">
        <v>501810</v>
      </c>
      <c r="B1679" s="5" t="s">
        <v>1810</v>
      </c>
    </row>
    <row r="1680" spans="1:2" x14ac:dyDescent="0.35">
      <c r="A1680" s="4">
        <v>501820</v>
      </c>
      <c r="B1680" s="5" t="s">
        <v>1811</v>
      </c>
    </row>
    <row r="1681" spans="1:2" x14ac:dyDescent="0.35">
      <c r="A1681" s="4">
        <v>501900</v>
      </c>
      <c r="B1681" s="5" t="s">
        <v>1812</v>
      </c>
    </row>
    <row r="1682" spans="1:2" x14ac:dyDescent="0.35">
      <c r="A1682" s="4">
        <v>501910</v>
      </c>
      <c r="B1682" s="5" t="s">
        <v>1813</v>
      </c>
    </row>
    <row r="1683" spans="1:2" x14ac:dyDescent="0.35">
      <c r="A1683" s="4">
        <v>501920</v>
      </c>
      <c r="B1683" s="5" t="s">
        <v>1814</v>
      </c>
    </row>
    <row r="1684" spans="1:2" x14ac:dyDescent="0.35">
      <c r="A1684" s="4">
        <v>501930</v>
      </c>
      <c r="B1684" s="5" t="s">
        <v>1815</v>
      </c>
    </row>
    <row r="1685" spans="1:2" x14ac:dyDescent="0.35">
      <c r="A1685" s="4">
        <v>502000</v>
      </c>
      <c r="B1685" s="5" t="s">
        <v>1816</v>
      </c>
    </row>
    <row r="1686" spans="1:2" x14ac:dyDescent="0.35">
      <c r="A1686" s="4">
        <v>502200</v>
      </c>
      <c r="B1686" s="5" t="s">
        <v>1817</v>
      </c>
    </row>
    <row r="1687" spans="1:2" x14ac:dyDescent="0.35">
      <c r="A1687" s="4">
        <v>502300</v>
      </c>
      <c r="B1687" s="5" t="s">
        <v>1818</v>
      </c>
    </row>
    <row r="1688" spans="1:2" x14ac:dyDescent="0.35">
      <c r="A1688" s="4">
        <v>502400</v>
      </c>
      <c r="B1688" s="5" t="s">
        <v>1819</v>
      </c>
    </row>
    <row r="1689" spans="1:2" x14ac:dyDescent="0.35">
      <c r="A1689" s="4">
        <v>502900</v>
      </c>
      <c r="B1689" s="5" t="s">
        <v>1820</v>
      </c>
    </row>
    <row r="1690" spans="1:2" x14ac:dyDescent="0.35">
      <c r="A1690" s="4">
        <v>503000</v>
      </c>
      <c r="B1690" s="5" t="s">
        <v>1821</v>
      </c>
    </row>
    <row r="1691" spans="1:2" x14ac:dyDescent="0.35">
      <c r="A1691" s="4">
        <v>510150</v>
      </c>
      <c r="B1691" s="5" t="s">
        <v>1822</v>
      </c>
    </row>
    <row r="1692" spans="1:2" x14ac:dyDescent="0.35">
      <c r="A1692" s="4">
        <v>510200</v>
      </c>
      <c r="B1692" s="5" t="s">
        <v>1823</v>
      </c>
    </row>
    <row r="1693" spans="1:2" x14ac:dyDescent="0.35">
      <c r="A1693" s="4">
        <v>510210</v>
      </c>
      <c r="B1693" s="5" t="s">
        <v>1824</v>
      </c>
    </row>
    <row r="1694" spans="1:2" x14ac:dyDescent="0.35">
      <c r="A1694" s="4">
        <v>510250</v>
      </c>
      <c r="B1694" s="5" t="s">
        <v>1825</v>
      </c>
    </row>
    <row r="1695" spans="1:2" x14ac:dyDescent="0.35">
      <c r="A1695" s="4">
        <v>510260</v>
      </c>
      <c r="B1695" s="5" t="s">
        <v>1826</v>
      </c>
    </row>
    <row r="1696" spans="1:2" x14ac:dyDescent="0.35">
      <c r="A1696" s="4">
        <v>510300</v>
      </c>
      <c r="B1696" s="5" t="s">
        <v>1827</v>
      </c>
    </row>
    <row r="1697" spans="1:2" x14ac:dyDescent="0.35">
      <c r="A1697" s="4">
        <v>510350</v>
      </c>
      <c r="B1697" s="5" t="s">
        <v>1828</v>
      </c>
    </row>
    <row r="1698" spans="1:2" x14ac:dyDescent="0.35">
      <c r="A1698" s="4">
        <v>510400</v>
      </c>
      <c r="B1698" s="5" t="s">
        <v>1829</v>
      </c>
    </row>
    <row r="1699" spans="1:2" x14ac:dyDescent="0.35">
      <c r="A1699" s="4">
        <v>510420</v>
      </c>
      <c r="B1699" s="5" t="s">
        <v>1830</v>
      </c>
    </row>
    <row r="1700" spans="1:2" x14ac:dyDescent="0.35">
      <c r="A1700" s="4">
        <v>510450</v>
      </c>
      <c r="B1700" s="5" t="s">
        <v>1831</v>
      </c>
    </row>
    <row r="1701" spans="1:2" x14ac:dyDescent="0.35">
      <c r="A1701" s="4">
        <v>510500</v>
      </c>
      <c r="B1701" s="5" t="s">
        <v>1832</v>
      </c>
    </row>
    <row r="1702" spans="1:2" x14ac:dyDescent="0.35">
      <c r="A1702" s="4">
        <v>510510</v>
      </c>
      <c r="B1702" s="5" t="s">
        <v>1833</v>
      </c>
    </row>
    <row r="1703" spans="1:2" x14ac:dyDescent="0.35">
      <c r="A1703" s="4">
        <v>510511</v>
      </c>
      <c r="B1703" s="5" t="s">
        <v>1834</v>
      </c>
    </row>
    <row r="1704" spans="1:2" x14ac:dyDescent="0.35">
      <c r="A1704" s="4">
        <v>510512</v>
      </c>
      <c r="B1704" s="5" t="s">
        <v>1835</v>
      </c>
    </row>
    <row r="1705" spans="1:2" x14ac:dyDescent="0.35">
      <c r="A1705" s="4">
        <v>510600</v>
      </c>
      <c r="B1705" s="5" t="s">
        <v>1836</v>
      </c>
    </row>
    <row r="1706" spans="1:2" x14ac:dyDescent="0.35">
      <c r="A1706" s="4">
        <v>510700</v>
      </c>
      <c r="B1706" s="5" t="s">
        <v>1837</v>
      </c>
    </row>
    <row r="1707" spans="1:2" x14ac:dyDescent="0.35">
      <c r="A1707" s="4">
        <v>510800</v>
      </c>
      <c r="B1707" s="5" t="s">
        <v>1838</v>
      </c>
    </row>
    <row r="1708" spans="1:2" x14ac:dyDescent="0.35">
      <c r="A1708" s="4">
        <v>510900</v>
      </c>
      <c r="B1708" s="5" t="s">
        <v>1839</v>
      </c>
    </row>
    <row r="1709" spans="1:2" x14ac:dyDescent="0.35">
      <c r="A1709" s="4">
        <v>513210</v>
      </c>
      <c r="B1709" s="5" t="s">
        <v>1840</v>
      </c>
    </row>
    <row r="1710" spans="1:2" x14ac:dyDescent="0.35">
      <c r="A1710" s="4">
        <v>520200</v>
      </c>
      <c r="B1710" s="5" t="s">
        <v>1841</v>
      </c>
    </row>
    <row r="1711" spans="1:2" x14ac:dyDescent="0.35">
      <c r="A1711" s="4">
        <v>520300</v>
      </c>
      <c r="B1711" s="5" t="s">
        <v>1842</v>
      </c>
    </row>
    <row r="1712" spans="1:2" x14ac:dyDescent="0.35">
      <c r="A1712" s="4">
        <v>520310</v>
      </c>
      <c r="B1712" s="5" t="s">
        <v>1843</v>
      </c>
    </row>
    <row r="1713" spans="1:2" x14ac:dyDescent="0.35">
      <c r="A1713" s="4">
        <v>520320</v>
      </c>
      <c r="B1713" s="5" t="s">
        <v>1844</v>
      </c>
    </row>
    <row r="1714" spans="1:2" x14ac:dyDescent="0.35">
      <c r="A1714" s="4">
        <v>520330</v>
      </c>
      <c r="B1714" s="5" t="s">
        <v>1845</v>
      </c>
    </row>
    <row r="1715" spans="1:2" x14ac:dyDescent="0.35">
      <c r="A1715" s="4">
        <v>520340</v>
      </c>
      <c r="B1715" s="5" t="s">
        <v>1846</v>
      </c>
    </row>
    <row r="1716" spans="1:2" x14ac:dyDescent="0.35">
      <c r="A1716" s="4">
        <v>520400</v>
      </c>
      <c r="B1716" s="5" t="s">
        <v>1847</v>
      </c>
    </row>
    <row r="1717" spans="1:2" x14ac:dyDescent="0.35">
      <c r="A1717" s="4">
        <v>520410</v>
      </c>
      <c r="B1717" s="5" t="s">
        <v>1848</v>
      </c>
    </row>
    <row r="1718" spans="1:2" x14ac:dyDescent="0.35">
      <c r="A1718" s="4">
        <v>520420</v>
      </c>
      <c r="B1718" s="5" t="s">
        <v>1849</v>
      </c>
    </row>
    <row r="1719" spans="1:2" x14ac:dyDescent="0.35">
      <c r="A1719" s="4">
        <v>520500</v>
      </c>
      <c r="B1719" s="5" t="s">
        <v>1850</v>
      </c>
    </row>
    <row r="1720" spans="1:2" x14ac:dyDescent="0.35">
      <c r="A1720" s="4">
        <v>520600</v>
      </c>
      <c r="B1720" s="5" t="s">
        <v>1851</v>
      </c>
    </row>
    <row r="1721" spans="1:2" x14ac:dyDescent="0.35">
      <c r="A1721" s="4">
        <v>520700</v>
      </c>
      <c r="B1721" s="5" t="s">
        <v>1852</v>
      </c>
    </row>
    <row r="1722" spans="1:2" x14ac:dyDescent="0.35">
      <c r="A1722" s="4">
        <v>520800</v>
      </c>
      <c r="B1722" s="5" t="s">
        <v>1853</v>
      </c>
    </row>
    <row r="1723" spans="1:2" x14ac:dyDescent="0.35">
      <c r="A1723" s="4">
        <v>520900</v>
      </c>
      <c r="B1723" s="5" t="s">
        <v>1854</v>
      </c>
    </row>
    <row r="1724" spans="1:2" x14ac:dyDescent="0.35">
      <c r="A1724" s="4">
        <v>530000</v>
      </c>
      <c r="B1724" s="5" t="s">
        <v>1855</v>
      </c>
    </row>
    <row r="1725" spans="1:2" x14ac:dyDescent="0.35">
      <c r="A1725" s="4">
        <v>531000</v>
      </c>
      <c r="B1725" s="5" t="s">
        <v>1856</v>
      </c>
    </row>
    <row r="1726" spans="1:2" x14ac:dyDescent="0.35">
      <c r="A1726" s="4">
        <v>531100</v>
      </c>
      <c r="B1726" s="5" t="s">
        <v>1857</v>
      </c>
    </row>
    <row r="1727" spans="1:2" x14ac:dyDescent="0.35">
      <c r="A1727" s="4">
        <v>531200</v>
      </c>
      <c r="B1727" s="5" t="s">
        <v>1858</v>
      </c>
    </row>
    <row r="1728" spans="1:2" x14ac:dyDescent="0.35">
      <c r="A1728" s="4">
        <v>531210</v>
      </c>
      <c r="B1728" s="5" t="s">
        <v>1859</v>
      </c>
    </row>
    <row r="1729" spans="1:2" x14ac:dyDescent="0.35">
      <c r="A1729" s="4">
        <v>531220</v>
      </c>
      <c r="B1729" s="5" t="s">
        <v>1860</v>
      </c>
    </row>
    <row r="1730" spans="1:2" x14ac:dyDescent="0.35">
      <c r="A1730" s="4">
        <v>531230</v>
      </c>
      <c r="B1730" s="5" t="s">
        <v>1861</v>
      </c>
    </row>
    <row r="1731" spans="1:2" x14ac:dyDescent="0.35">
      <c r="A1731" s="4">
        <v>531240</v>
      </c>
      <c r="B1731" s="5" t="s">
        <v>1862</v>
      </c>
    </row>
    <row r="1732" spans="1:2" x14ac:dyDescent="0.35">
      <c r="A1732" s="4">
        <v>531300</v>
      </c>
      <c r="B1732" s="5" t="s">
        <v>1863</v>
      </c>
    </row>
    <row r="1733" spans="1:2" x14ac:dyDescent="0.35">
      <c r="A1733" s="4">
        <v>531400</v>
      </c>
      <c r="B1733" s="5" t="s">
        <v>1864</v>
      </c>
    </row>
    <row r="1734" spans="1:2" x14ac:dyDescent="0.35">
      <c r="A1734" s="4">
        <v>531500</v>
      </c>
      <c r="B1734" s="5" t="s">
        <v>1865</v>
      </c>
    </row>
    <row r="1735" spans="1:2" x14ac:dyDescent="0.35">
      <c r="A1735" s="4">
        <v>531600</v>
      </c>
      <c r="B1735" s="5" t="s">
        <v>1866</v>
      </c>
    </row>
    <row r="1736" spans="1:2" x14ac:dyDescent="0.35">
      <c r="A1736" s="4">
        <v>531610</v>
      </c>
      <c r="B1736" s="5" t="s">
        <v>1867</v>
      </c>
    </row>
    <row r="1737" spans="1:2" x14ac:dyDescent="0.35">
      <c r="A1737" s="4">
        <v>531620</v>
      </c>
      <c r="B1737" s="5" t="s">
        <v>1868</v>
      </c>
    </row>
    <row r="1738" spans="1:2" x14ac:dyDescent="0.35">
      <c r="A1738" s="4">
        <v>531700</v>
      </c>
      <c r="B1738" s="5" t="s">
        <v>1869</v>
      </c>
    </row>
    <row r="1739" spans="1:2" x14ac:dyDescent="0.35">
      <c r="A1739" s="4">
        <v>531800</v>
      </c>
      <c r="B1739" s="5" t="s">
        <v>1870</v>
      </c>
    </row>
    <row r="1740" spans="1:2" x14ac:dyDescent="0.35">
      <c r="A1740" s="4">
        <v>531900</v>
      </c>
      <c r="B1740" s="5" t="s">
        <v>1871</v>
      </c>
    </row>
    <row r="1741" spans="1:2" x14ac:dyDescent="0.35">
      <c r="A1741" s="4">
        <v>532000</v>
      </c>
      <c r="B1741" s="5" t="s">
        <v>1872</v>
      </c>
    </row>
    <row r="1742" spans="1:2" x14ac:dyDescent="0.35">
      <c r="A1742" s="4">
        <v>532200</v>
      </c>
      <c r="B1742" s="5" t="s">
        <v>1873</v>
      </c>
    </row>
    <row r="1743" spans="1:2" x14ac:dyDescent="0.35">
      <c r="A1743" s="4">
        <v>532300</v>
      </c>
      <c r="B1743" s="5" t="s">
        <v>1874</v>
      </c>
    </row>
    <row r="1744" spans="1:2" x14ac:dyDescent="0.35">
      <c r="A1744" s="4">
        <v>532310</v>
      </c>
      <c r="B1744" s="5" t="s">
        <v>1875</v>
      </c>
    </row>
    <row r="1745" spans="1:2" x14ac:dyDescent="0.35">
      <c r="A1745" s="4">
        <v>532320</v>
      </c>
      <c r="B1745" s="5" t="s">
        <v>1876</v>
      </c>
    </row>
    <row r="1746" spans="1:2" x14ac:dyDescent="0.35">
      <c r="A1746" s="4">
        <v>532330</v>
      </c>
      <c r="B1746" s="5" t="s">
        <v>1877</v>
      </c>
    </row>
    <row r="1747" spans="1:2" x14ac:dyDescent="0.35">
      <c r="A1747" s="4">
        <v>532340</v>
      </c>
      <c r="B1747" s="5" t="s">
        <v>1878</v>
      </c>
    </row>
    <row r="1748" spans="1:2" x14ac:dyDescent="0.35">
      <c r="A1748" s="4">
        <v>532400</v>
      </c>
      <c r="B1748" s="5" t="s">
        <v>1879</v>
      </c>
    </row>
    <row r="1749" spans="1:2" x14ac:dyDescent="0.35">
      <c r="A1749" s="4">
        <v>532500</v>
      </c>
      <c r="B1749" s="5" t="s">
        <v>1880</v>
      </c>
    </row>
    <row r="1750" spans="1:2" x14ac:dyDescent="0.35">
      <c r="A1750" s="4">
        <v>532600</v>
      </c>
      <c r="B1750" s="5" t="s">
        <v>1881</v>
      </c>
    </row>
    <row r="1751" spans="1:2" x14ac:dyDescent="0.35">
      <c r="A1751" s="4">
        <v>532700</v>
      </c>
      <c r="B1751" s="5" t="s">
        <v>1882</v>
      </c>
    </row>
    <row r="1752" spans="1:2" x14ac:dyDescent="0.35">
      <c r="A1752" s="4">
        <v>532900</v>
      </c>
      <c r="B1752" s="5" t="s">
        <v>1883</v>
      </c>
    </row>
    <row r="1753" spans="1:2" x14ac:dyDescent="0.35">
      <c r="A1753" s="4">
        <v>540200</v>
      </c>
      <c r="B1753" s="5" t="s">
        <v>1884</v>
      </c>
    </row>
    <row r="1754" spans="1:2" x14ac:dyDescent="0.35">
      <c r="A1754" s="4">
        <v>540210</v>
      </c>
      <c r="B1754" s="5" t="s">
        <v>1885</v>
      </c>
    </row>
    <row r="1755" spans="1:2" x14ac:dyDescent="0.35">
      <c r="A1755" s="4">
        <v>540300</v>
      </c>
      <c r="B1755" s="5" t="s">
        <v>1886</v>
      </c>
    </row>
    <row r="1756" spans="1:2" x14ac:dyDescent="0.35">
      <c r="A1756" s="4">
        <v>540400</v>
      </c>
      <c r="B1756" s="5" t="s">
        <v>1887</v>
      </c>
    </row>
    <row r="1757" spans="1:2" x14ac:dyDescent="0.35">
      <c r="A1757" s="4">
        <v>540500</v>
      </c>
      <c r="B1757" s="5" t="s">
        <v>1888</v>
      </c>
    </row>
    <row r="1758" spans="1:2" x14ac:dyDescent="0.35">
      <c r="A1758" s="4">
        <v>540600</v>
      </c>
      <c r="B1758" s="5" t="s">
        <v>1889</v>
      </c>
    </row>
    <row r="1759" spans="1:2" x14ac:dyDescent="0.35">
      <c r="A1759" s="4">
        <v>540900</v>
      </c>
      <c r="B1759" s="5" t="s">
        <v>1890</v>
      </c>
    </row>
    <row r="1760" spans="1:2" x14ac:dyDescent="0.35">
      <c r="A1760" s="4">
        <v>551200</v>
      </c>
      <c r="B1760" s="5" t="s">
        <v>1891</v>
      </c>
    </row>
    <row r="1761" spans="1:2" x14ac:dyDescent="0.35">
      <c r="A1761" s="4">
        <v>551210</v>
      </c>
      <c r="B1761" s="5" t="s">
        <v>1892</v>
      </c>
    </row>
    <row r="1762" spans="1:2" x14ac:dyDescent="0.35">
      <c r="A1762" s="4">
        <v>551300</v>
      </c>
      <c r="B1762" s="5" t="s">
        <v>1893</v>
      </c>
    </row>
    <row r="1763" spans="1:2" x14ac:dyDescent="0.35">
      <c r="A1763" s="4">
        <v>551400</v>
      </c>
      <c r="B1763" s="5" t="s">
        <v>1894</v>
      </c>
    </row>
    <row r="1764" spans="1:2" x14ac:dyDescent="0.35">
      <c r="A1764" s="4">
        <v>551500</v>
      </c>
      <c r="B1764" s="5" t="s">
        <v>1895</v>
      </c>
    </row>
    <row r="1765" spans="1:2" x14ac:dyDescent="0.35">
      <c r="A1765" s="4">
        <v>551590</v>
      </c>
      <c r="B1765" s="5" t="s">
        <v>1896</v>
      </c>
    </row>
    <row r="1766" spans="1:2" x14ac:dyDescent="0.35">
      <c r="A1766" s="4">
        <v>551600</v>
      </c>
      <c r="B1766" s="5" t="s">
        <v>1897</v>
      </c>
    </row>
    <row r="1767" spans="1:2" x14ac:dyDescent="0.35">
      <c r="A1767" s="4">
        <v>551610</v>
      </c>
      <c r="B1767" s="5" t="s">
        <v>1898</v>
      </c>
    </row>
    <row r="1768" spans="1:2" x14ac:dyDescent="0.35">
      <c r="A1768" s="4">
        <v>551620</v>
      </c>
      <c r="B1768" s="5" t="s">
        <v>1899</v>
      </c>
    </row>
    <row r="1769" spans="1:2" x14ac:dyDescent="0.35">
      <c r="A1769" s="4">
        <v>551700</v>
      </c>
      <c r="B1769" s="5" t="s">
        <v>1900</v>
      </c>
    </row>
    <row r="1770" spans="1:2" x14ac:dyDescent="0.35">
      <c r="A1770" s="4">
        <v>551710</v>
      </c>
      <c r="B1770" s="5" t="s">
        <v>1901</v>
      </c>
    </row>
    <row r="1771" spans="1:2" x14ac:dyDescent="0.35">
      <c r="A1771" s="4">
        <v>551900</v>
      </c>
      <c r="B1771" s="5" t="s">
        <v>1902</v>
      </c>
    </row>
    <row r="1772" spans="1:2" x14ac:dyDescent="0.35">
      <c r="A1772" s="4">
        <v>551910</v>
      </c>
      <c r="B1772" s="5" t="s">
        <v>1903</v>
      </c>
    </row>
    <row r="1773" spans="1:2" x14ac:dyDescent="0.35">
      <c r="A1773" s="4">
        <v>551920</v>
      </c>
      <c r="B1773" s="5" t="s">
        <v>1904</v>
      </c>
    </row>
    <row r="1774" spans="1:2" x14ac:dyDescent="0.35">
      <c r="A1774" s="4">
        <v>551930</v>
      </c>
      <c r="B1774" s="5" t="s">
        <v>1905</v>
      </c>
    </row>
    <row r="1775" spans="1:2" x14ac:dyDescent="0.35">
      <c r="A1775" s="4">
        <v>551940</v>
      </c>
      <c r="B1775" s="5" t="s">
        <v>1906</v>
      </c>
    </row>
    <row r="1776" spans="1:2" x14ac:dyDescent="0.35">
      <c r="A1776" s="4">
        <v>551950</v>
      </c>
      <c r="B1776" s="5" t="s">
        <v>1907</v>
      </c>
    </row>
    <row r="1777" spans="1:2" x14ac:dyDescent="0.35">
      <c r="A1777" s="4">
        <v>552100</v>
      </c>
      <c r="B1777" s="5" t="s">
        <v>1908</v>
      </c>
    </row>
    <row r="1778" spans="1:2" x14ac:dyDescent="0.35">
      <c r="A1778" s="4">
        <v>560100</v>
      </c>
      <c r="B1778" s="5" t="s">
        <v>1909</v>
      </c>
    </row>
    <row r="1779" spans="1:2" x14ac:dyDescent="0.35">
      <c r="A1779" s="4">
        <v>560200</v>
      </c>
      <c r="B1779" s="5" t="s">
        <v>1910</v>
      </c>
    </row>
    <row r="1780" spans="1:2" x14ac:dyDescent="0.35">
      <c r="A1780" s="4">
        <v>560300</v>
      </c>
      <c r="B1780" s="5" t="s">
        <v>1911</v>
      </c>
    </row>
    <row r="1781" spans="1:2" x14ac:dyDescent="0.35">
      <c r="A1781" s="4">
        <v>560400</v>
      </c>
      <c r="B1781" s="5" t="s">
        <v>1912</v>
      </c>
    </row>
    <row r="1782" spans="1:2" x14ac:dyDescent="0.35">
      <c r="A1782" s="4">
        <v>560500</v>
      </c>
      <c r="B1782" s="5" t="s">
        <v>1913</v>
      </c>
    </row>
    <row r="1783" spans="1:2" x14ac:dyDescent="0.35">
      <c r="A1783" s="4">
        <v>560600</v>
      </c>
      <c r="B1783" s="5" t="s">
        <v>1914</v>
      </c>
    </row>
    <row r="1784" spans="1:2" x14ac:dyDescent="0.35">
      <c r="A1784" s="4">
        <v>560900</v>
      </c>
      <c r="B1784" s="5" t="s">
        <v>1915</v>
      </c>
    </row>
    <row r="1785" spans="1:2" x14ac:dyDescent="0.35">
      <c r="A1785" s="4">
        <v>561000</v>
      </c>
      <c r="B1785" s="5" t="s">
        <v>1916</v>
      </c>
    </row>
    <row r="1786" spans="1:2" x14ac:dyDescent="0.35">
      <c r="A1786" s="4">
        <v>570200</v>
      </c>
      <c r="B1786" s="5" t="s">
        <v>1917</v>
      </c>
    </row>
    <row r="1787" spans="1:2" x14ac:dyDescent="0.35">
      <c r="A1787" s="4">
        <v>570300</v>
      </c>
      <c r="B1787" s="5" t="s">
        <v>1918</v>
      </c>
    </row>
    <row r="1788" spans="1:2" x14ac:dyDescent="0.35">
      <c r="A1788" s="4">
        <v>570400</v>
      </c>
      <c r="B1788" s="5" t="s">
        <v>1919</v>
      </c>
    </row>
    <row r="1789" spans="1:2" x14ac:dyDescent="0.35">
      <c r="A1789" s="4">
        <v>570500</v>
      </c>
      <c r="B1789" s="5" t="s">
        <v>1920</v>
      </c>
    </row>
    <row r="1790" spans="1:2" x14ac:dyDescent="0.35">
      <c r="A1790" s="4">
        <v>570600</v>
      </c>
      <c r="B1790" s="5" t="s">
        <v>1921</v>
      </c>
    </row>
    <row r="1791" spans="1:2" x14ac:dyDescent="0.35">
      <c r="A1791" s="4">
        <v>581200</v>
      </c>
      <c r="B1791" s="5" t="s">
        <v>1922</v>
      </c>
    </row>
    <row r="1792" spans="1:2" x14ac:dyDescent="0.35">
      <c r="A1792" s="4">
        <v>581300</v>
      </c>
      <c r="B1792" s="5" t="s">
        <v>1923</v>
      </c>
    </row>
    <row r="1793" spans="1:2" x14ac:dyDescent="0.35">
      <c r="A1793" s="4">
        <v>581400</v>
      </c>
      <c r="B1793" s="5" t="s">
        <v>1924</v>
      </c>
    </row>
    <row r="1794" spans="1:2" x14ac:dyDescent="0.35">
      <c r="A1794" s="4">
        <v>581500</v>
      </c>
      <c r="B1794" s="5" t="s">
        <v>1925</v>
      </c>
    </row>
    <row r="1795" spans="1:2" x14ac:dyDescent="0.35">
      <c r="A1795" s="4">
        <v>581900</v>
      </c>
      <c r="B1795" s="5" t="s">
        <v>1926</v>
      </c>
    </row>
    <row r="1796" spans="1:2" x14ac:dyDescent="0.35">
      <c r="A1796" s="4">
        <v>582200</v>
      </c>
      <c r="B1796" s="5" t="s">
        <v>1927</v>
      </c>
    </row>
    <row r="1797" spans="1:2" x14ac:dyDescent="0.35">
      <c r="A1797" s="4">
        <v>582400</v>
      </c>
      <c r="B1797" s="5" t="s">
        <v>1928</v>
      </c>
    </row>
    <row r="1798" spans="1:2" x14ac:dyDescent="0.35">
      <c r="A1798" s="4">
        <v>582900</v>
      </c>
      <c r="B1798" s="5" t="s">
        <v>1929</v>
      </c>
    </row>
    <row r="1799" spans="1:2" x14ac:dyDescent="0.35">
      <c r="A1799" s="4">
        <v>583200</v>
      </c>
      <c r="B1799" s="5" t="s">
        <v>1930</v>
      </c>
    </row>
    <row r="1800" spans="1:2" x14ac:dyDescent="0.35">
      <c r="A1800" s="4">
        <v>583300</v>
      </c>
      <c r="B1800" s="5" t="s">
        <v>1931</v>
      </c>
    </row>
    <row r="1801" spans="1:2" x14ac:dyDescent="0.35">
      <c r="A1801" s="4">
        <v>583400</v>
      </c>
      <c r="B1801" s="5" t="s">
        <v>1932</v>
      </c>
    </row>
    <row r="1802" spans="1:2" x14ac:dyDescent="0.35">
      <c r="A1802" s="4">
        <v>583900</v>
      </c>
      <c r="B1802" s="5" t="s">
        <v>1933</v>
      </c>
    </row>
    <row r="1803" spans="1:2" x14ac:dyDescent="0.35">
      <c r="A1803" s="4">
        <v>585000</v>
      </c>
      <c r="B1803" s="5" t="s">
        <v>1934</v>
      </c>
    </row>
    <row r="1804" spans="1:2" x14ac:dyDescent="0.35">
      <c r="A1804" s="4">
        <v>585100</v>
      </c>
      <c r="B1804" s="5" t="s">
        <v>1935</v>
      </c>
    </row>
    <row r="1805" spans="1:2" x14ac:dyDescent="0.35">
      <c r="A1805" s="4">
        <v>585200</v>
      </c>
      <c r="B1805" s="5" t="s">
        <v>1936</v>
      </c>
    </row>
    <row r="1806" spans="1:2" x14ac:dyDescent="0.35">
      <c r="A1806" s="4">
        <v>585300</v>
      </c>
      <c r="B1806" s="5" t="s">
        <v>1937</v>
      </c>
    </row>
    <row r="1807" spans="1:2" x14ac:dyDescent="0.35">
      <c r="A1807" s="4">
        <v>585400</v>
      </c>
      <c r="B1807" s="5" t="s">
        <v>1938</v>
      </c>
    </row>
    <row r="1808" spans="1:2" x14ac:dyDescent="0.35">
      <c r="A1808" s="4">
        <v>585500</v>
      </c>
      <c r="B1808" s="5" t="s">
        <v>1939</v>
      </c>
    </row>
    <row r="1809" spans="1:2" x14ac:dyDescent="0.35">
      <c r="A1809" s="4">
        <v>585600</v>
      </c>
      <c r="B1809" s="5" t="s">
        <v>1940</v>
      </c>
    </row>
    <row r="1810" spans="1:2" x14ac:dyDescent="0.35">
      <c r="A1810" s="4">
        <v>585700</v>
      </c>
      <c r="B1810" s="5" t="s">
        <v>1941</v>
      </c>
    </row>
    <row r="1811" spans="1:2" x14ac:dyDescent="0.35">
      <c r="A1811" s="4">
        <v>585900</v>
      </c>
      <c r="B1811" s="5" t="s">
        <v>1942</v>
      </c>
    </row>
    <row r="1812" spans="1:2" x14ac:dyDescent="0.35">
      <c r="A1812" s="4">
        <v>586000</v>
      </c>
      <c r="B1812" s="5" t="s">
        <v>1943</v>
      </c>
    </row>
    <row r="1813" spans="1:2" x14ac:dyDescent="0.35">
      <c r="A1813" s="4">
        <v>586100</v>
      </c>
      <c r="B1813" s="5" t="s">
        <v>1944</v>
      </c>
    </row>
    <row r="1814" spans="1:2" x14ac:dyDescent="0.35">
      <c r="A1814" s="4">
        <v>586200</v>
      </c>
      <c r="B1814" s="5" t="s">
        <v>1945</v>
      </c>
    </row>
    <row r="1815" spans="1:2" x14ac:dyDescent="0.35">
      <c r="A1815" s="4">
        <v>586300</v>
      </c>
      <c r="B1815" s="5" t="s">
        <v>1946</v>
      </c>
    </row>
    <row r="1816" spans="1:2" x14ac:dyDescent="0.35">
      <c r="A1816" s="4">
        <v>586400</v>
      </c>
      <c r="B1816" s="5" t="s">
        <v>1947</v>
      </c>
    </row>
    <row r="1817" spans="1:2" x14ac:dyDescent="0.35">
      <c r="A1817" s="4">
        <v>587100</v>
      </c>
      <c r="B1817" s="5" t="s">
        <v>1948</v>
      </c>
    </row>
    <row r="1818" spans="1:2" x14ac:dyDescent="0.35">
      <c r="A1818" s="4">
        <v>587200</v>
      </c>
      <c r="B1818" s="5" t="s">
        <v>1949</v>
      </c>
    </row>
    <row r="1819" spans="1:2" x14ac:dyDescent="0.35">
      <c r="A1819" s="4">
        <v>589200</v>
      </c>
      <c r="B1819" s="5" t="s">
        <v>1950</v>
      </c>
    </row>
    <row r="1820" spans="1:2" x14ac:dyDescent="0.35">
      <c r="A1820" s="4">
        <v>589300</v>
      </c>
      <c r="B1820" s="5" t="s">
        <v>1951</v>
      </c>
    </row>
    <row r="1821" spans="1:2" x14ac:dyDescent="0.35">
      <c r="A1821" s="4">
        <v>589400</v>
      </c>
      <c r="B1821" s="5" t="s">
        <v>1952</v>
      </c>
    </row>
    <row r="1822" spans="1:2" x14ac:dyDescent="0.35">
      <c r="A1822" s="4">
        <v>589900</v>
      </c>
      <c r="B1822" s="5" t="s">
        <v>1953</v>
      </c>
    </row>
    <row r="1823" spans="1:2" x14ac:dyDescent="0.35">
      <c r="A1823" s="4">
        <v>591000</v>
      </c>
      <c r="B1823" s="5" t="s">
        <v>1954</v>
      </c>
    </row>
    <row r="1824" spans="1:2" x14ac:dyDescent="0.35">
      <c r="A1824" s="4">
        <v>591140</v>
      </c>
      <c r="B1824" s="5" t="s">
        <v>1955</v>
      </c>
    </row>
    <row r="1825" spans="1:2" x14ac:dyDescent="0.35">
      <c r="A1825" s="4">
        <v>591150</v>
      </c>
      <c r="B1825" s="5" t="s">
        <v>1956</v>
      </c>
    </row>
    <row r="1826" spans="1:2" x14ac:dyDescent="0.35">
      <c r="A1826" s="4">
        <v>591160</v>
      </c>
      <c r="B1826" s="5" t="s">
        <v>1957</v>
      </c>
    </row>
    <row r="1827" spans="1:2" x14ac:dyDescent="0.35">
      <c r="A1827" s="4">
        <v>591190</v>
      </c>
      <c r="B1827" s="5" t="s">
        <v>1958</v>
      </c>
    </row>
    <row r="1828" spans="1:2" x14ac:dyDescent="0.35">
      <c r="A1828" s="4">
        <v>591200</v>
      </c>
      <c r="B1828" s="5" t="s">
        <v>1959</v>
      </c>
    </row>
    <row r="1829" spans="1:2" x14ac:dyDescent="0.35">
      <c r="A1829" s="4">
        <v>591210</v>
      </c>
      <c r="B1829" s="5" t="s">
        <v>1960</v>
      </c>
    </row>
    <row r="1830" spans="1:2" x14ac:dyDescent="0.35">
      <c r="A1830" s="4">
        <v>591250</v>
      </c>
      <c r="B1830" s="5" t="s">
        <v>1961</v>
      </c>
    </row>
    <row r="1831" spans="1:2" x14ac:dyDescent="0.35">
      <c r="A1831" s="4">
        <v>591260</v>
      </c>
      <c r="B1831" s="5" t="s">
        <v>1962</v>
      </c>
    </row>
    <row r="1832" spans="1:2" x14ac:dyDescent="0.35">
      <c r="A1832" s="4">
        <v>591300</v>
      </c>
      <c r="B1832" s="5" t="s">
        <v>1963</v>
      </c>
    </row>
    <row r="1833" spans="1:2" x14ac:dyDescent="0.35">
      <c r="A1833" s="4">
        <v>591400</v>
      </c>
      <c r="B1833" s="5" t="s">
        <v>1964</v>
      </c>
    </row>
    <row r="1834" spans="1:2" x14ac:dyDescent="0.35">
      <c r="A1834" s="4">
        <v>591500</v>
      </c>
      <c r="B1834" s="5" t="s">
        <v>1965</v>
      </c>
    </row>
    <row r="1835" spans="1:2" x14ac:dyDescent="0.35">
      <c r="A1835" s="4">
        <v>591600</v>
      </c>
      <c r="B1835" s="5" t="s">
        <v>1966</v>
      </c>
    </row>
    <row r="1836" spans="1:2" x14ac:dyDescent="0.35">
      <c r="A1836" s="4">
        <v>591700</v>
      </c>
      <c r="B1836" s="5" t="s">
        <v>1967</v>
      </c>
    </row>
    <row r="1837" spans="1:2" x14ac:dyDescent="0.35">
      <c r="A1837" s="4">
        <v>592200</v>
      </c>
      <c r="B1837" s="5" t="s">
        <v>1968</v>
      </c>
    </row>
    <row r="1838" spans="1:2" x14ac:dyDescent="0.35">
      <c r="A1838" s="4">
        <v>592300</v>
      </c>
      <c r="B1838" s="5" t="s">
        <v>1969</v>
      </c>
    </row>
    <row r="1839" spans="1:2" x14ac:dyDescent="0.35">
      <c r="A1839" s="4">
        <v>592400</v>
      </c>
      <c r="B1839" s="5" t="s">
        <v>1970</v>
      </c>
    </row>
    <row r="1840" spans="1:2" x14ac:dyDescent="0.35">
      <c r="A1840" s="4">
        <v>592900</v>
      </c>
      <c r="B1840" s="5" t="s">
        <v>1971</v>
      </c>
    </row>
    <row r="1841" spans="1:2" x14ac:dyDescent="0.35">
      <c r="A1841" s="4">
        <v>599200</v>
      </c>
      <c r="B1841" s="5" t="s">
        <v>1972</v>
      </c>
    </row>
    <row r="1842" spans="1:2" x14ac:dyDescent="0.35">
      <c r="A1842" s="4">
        <v>599220</v>
      </c>
      <c r="B1842" s="5" t="s">
        <v>1973</v>
      </c>
    </row>
    <row r="1843" spans="1:2" x14ac:dyDescent="0.35">
      <c r="A1843" s="4">
        <v>599240</v>
      </c>
      <c r="B1843" s="5" t="s">
        <v>1974</v>
      </c>
    </row>
    <row r="1844" spans="1:2" x14ac:dyDescent="0.35">
      <c r="A1844" s="4">
        <v>599260</v>
      </c>
      <c r="B1844" s="5" t="s">
        <v>1975</v>
      </c>
    </row>
    <row r="1845" spans="1:2" x14ac:dyDescent="0.35">
      <c r="A1845" s="4">
        <v>599280</v>
      </c>
      <c r="B1845" s="5" t="s">
        <v>1976</v>
      </c>
    </row>
    <row r="1846" spans="1:2" x14ac:dyDescent="0.35">
      <c r="A1846" s="4">
        <v>599300</v>
      </c>
      <c r="B1846" s="5" t="s">
        <v>1977</v>
      </c>
    </row>
    <row r="1847" spans="1:2" x14ac:dyDescent="0.35">
      <c r="A1847" s="4">
        <v>599320</v>
      </c>
      <c r="B1847" s="5" t="s">
        <v>1978</v>
      </c>
    </row>
    <row r="1848" spans="1:2" x14ac:dyDescent="0.35">
      <c r="A1848" s="4">
        <v>599340</v>
      </c>
      <c r="B1848" s="5" t="s">
        <v>1979</v>
      </c>
    </row>
    <row r="1849" spans="1:2" x14ac:dyDescent="0.35">
      <c r="A1849" s="4">
        <v>599360</v>
      </c>
      <c r="B1849" s="5" t="s">
        <v>1980</v>
      </c>
    </row>
    <row r="1850" spans="1:2" x14ac:dyDescent="0.35">
      <c r="A1850" s="4">
        <v>599380</v>
      </c>
      <c r="B1850" s="5" t="s">
        <v>1981</v>
      </c>
    </row>
    <row r="1851" spans="1:2" x14ac:dyDescent="0.35">
      <c r="A1851" s="4">
        <v>599400</v>
      </c>
      <c r="B1851" s="5" t="s">
        <v>1982</v>
      </c>
    </row>
    <row r="1852" spans="1:2" x14ac:dyDescent="0.35">
      <c r="A1852" s="4">
        <v>599420</v>
      </c>
      <c r="B1852" s="5" t="s">
        <v>1983</v>
      </c>
    </row>
    <row r="1853" spans="1:2" x14ac:dyDescent="0.35">
      <c r="A1853" s="4">
        <v>599440</v>
      </c>
      <c r="B1853" s="5" t="s">
        <v>1984</v>
      </c>
    </row>
    <row r="1854" spans="1:2" x14ac:dyDescent="0.35">
      <c r="A1854" s="4">
        <v>599460</v>
      </c>
      <c r="B1854" s="5" t="s">
        <v>1985</v>
      </c>
    </row>
    <row r="1855" spans="1:2" x14ac:dyDescent="0.35">
      <c r="A1855" s="4">
        <v>599480</v>
      </c>
      <c r="B1855" s="5" t="s">
        <v>1986</v>
      </c>
    </row>
    <row r="1856" spans="1:2" x14ac:dyDescent="0.35">
      <c r="A1856" s="4">
        <v>599500</v>
      </c>
      <c r="B1856" s="5" t="s">
        <v>1987</v>
      </c>
    </row>
    <row r="1857" spans="1:2" x14ac:dyDescent="0.35">
      <c r="A1857" s="4">
        <v>599510</v>
      </c>
      <c r="B1857" s="5" t="s">
        <v>1988</v>
      </c>
    </row>
    <row r="1858" spans="1:2" x14ac:dyDescent="0.35">
      <c r="A1858" s="4">
        <v>599520</v>
      </c>
      <c r="B1858" s="5" t="s">
        <v>1989</v>
      </c>
    </row>
    <row r="1859" spans="1:2" x14ac:dyDescent="0.35">
      <c r="A1859" s="4">
        <v>599900</v>
      </c>
      <c r="B1859" s="5" t="s">
        <v>1990</v>
      </c>
    </row>
    <row r="1860" spans="1:2" x14ac:dyDescent="0.35">
      <c r="A1860" s="4">
        <v>600150</v>
      </c>
      <c r="B1860" s="5" t="s">
        <v>1991</v>
      </c>
    </row>
    <row r="1861" spans="1:2" x14ac:dyDescent="0.35">
      <c r="A1861" s="4">
        <v>600200</v>
      </c>
      <c r="B1861" s="5" t="s">
        <v>1992</v>
      </c>
    </row>
    <row r="1862" spans="1:2" x14ac:dyDescent="0.35">
      <c r="A1862" s="4">
        <v>600250</v>
      </c>
      <c r="B1862" s="5" t="s">
        <v>1993</v>
      </c>
    </row>
    <row r="1863" spans="1:2" x14ac:dyDescent="0.35">
      <c r="A1863" s="4">
        <v>600300</v>
      </c>
      <c r="B1863" s="5" t="s">
        <v>1994</v>
      </c>
    </row>
    <row r="1864" spans="1:2" x14ac:dyDescent="0.35">
      <c r="A1864" s="4">
        <v>600310</v>
      </c>
      <c r="B1864" s="5" t="s">
        <v>1995</v>
      </c>
    </row>
    <row r="1865" spans="1:2" x14ac:dyDescent="0.35">
      <c r="A1865" s="4">
        <v>600350</v>
      </c>
      <c r="B1865" s="5" t="s">
        <v>1996</v>
      </c>
    </row>
    <row r="1866" spans="1:2" x14ac:dyDescent="0.35">
      <c r="A1866" s="4">
        <v>600400</v>
      </c>
      <c r="B1866" s="5" t="s">
        <v>1997</v>
      </c>
    </row>
    <row r="1867" spans="1:2" x14ac:dyDescent="0.35">
      <c r="A1867" s="4">
        <v>600450</v>
      </c>
      <c r="B1867" s="5" t="s">
        <v>1998</v>
      </c>
    </row>
    <row r="1868" spans="1:2" x14ac:dyDescent="0.35">
      <c r="A1868" s="4">
        <v>600500</v>
      </c>
      <c r="B1868" s="5" t="s">
        <v>1999</v>
      </c>
    </row>
    <row r="1869" spans="1:2" x14ac:dyDescent="0.35">
      <c r="A1869" s="4">
        <v>600550</v>
      </c>
      <c r="B1869" s="5" t="s">
        <v>2000</v>
      </c>
    </row>
    <row r="1870" spans="1:2" x14ac:dyDescent="0.35">
      <c r="A1870" s="4">
        <v>600600</v>
      </c>
      <c r="B1870" s="5" t="s">
        <v>2001</v>
      </c>
    </row>
    <row r="1871" spans="1:2" x14ac:dyDescent="0.35">
      <c r="A1871" s="4">
        <v>600650</v>
      </c>
      <c r="B1871" s="5" t="s">
        <v>2002</v>
      </c>
    </row>
    <row r="1872" spans="1:2" x14ac:dyDescent="0.35">
      <c r="A1872" s="4">
        <v>600700</v>
      </c>
      <c r="B1872" s="5" t="s">
        <v>2003</v>
      </c>
    </row>
    <row r="1873" spans="1:2" x14ac:dyDescent="0.35">
      <c r="A1873" s="4">
        <v>600710</v>
      </c>
      <c r="B1873" s="5" t="s">
        <v>2004</v>
      </c>
    </row>
    <row r="1874" spans="1:2" x14ac:dyDescent="0.35">
      <c r="A1874" s="4">
        <v>600750</v>
      </c>
      <c r="B1874" s="5" t="s">
        <v>2005</v>
      </c>
    </row>
    <row r="1875" spans="1:2" x14ac:dyDescent="0.35">
      <c r="A1875" s="4">
        <v>600900</v>
      </c>
      <c r="B1875" s="5" t="s">
        <v>2006</v>
      </c>
    </row>
    <row r="1876" spans="1:2" x14ac:dyDescent="0.35">
      <c r="A1876" s="4">
        <v>605600</v>
      </c>
      <c r="B1876" s="5" t="s">
        <v>2007</v>
      </c>
    </row>
    <row r="1877" spans="1:2" x14ac:dyDescent="0.35">
      <c r="A1877" s="4">
        <v>611100</v>
      </c>
      <c r="B1877" s="5" t="s">
        <v>2008</v>
      </c>
    </row>
    <row r="1878" spans="1:2" x14ac:dyDescent="0.35">
      <c r="A1878" s="4">
        <v>611537</v>
      </c>
      <c r="B1878" s="5" t="s">
        <v>2009</v>
      </c>
    </row>
    <row r="1879" spans="1:2" x14ac:dyDescent="0.35">
      <c r="A1879" s="4">
        <v>612200</v>
      </c>
      <c r="B1879" s="5" t="s">
        <v>2010</v>
      </c>
    </row>
    <row r="1880" spans="1:2" x14ac:dyDescent="0.35">
      <c r="A1880" s="4">
        <v>612300</v>
      </c>
      <c r="B1880" s="5" t="s">
        <v>2011</v>
      </c>
    </row>
    <row r="1881" spans="1:2" x14ac:dyDescent="0.35">
      <c r="A1881" s="4">
        <v>612400</v>
      </c>
      <c r="B1881" s="5" t="s">
        <v>2012</v>
      </c>
    </row>
    <row r="1882" spans="1:2" x14ac:dyDescent="0.35">
      <c r="A1882" s="4">
        <v>612500</v>
      </c>
      <c r="B1882" s="5" t="s">
        <v>2013</v>
      </c>
    </row>
    <row r="1883" spans="1:2" x14ac:dyDescent="0.35">
      <c r="A1883" s="4">
        <v>612600</v>
      </c>
      <c r="B1883" s="5" t="s">
        <v>2014</v>
      </c>
    </row>
    <row r="1884" spans="1:2" x14ac:dyDescent="0.35">
      <c r="A1884" s="4">
        <v>612900</v>
      </c>
      <c r="B1884" s="5" t="s">
        <v>2015</v>
      </c>
    </row>
    <row r="1885" spans="1:2" x14ac:dyDescent="0.35">
      <c r="A1885" s="4">
        <v>620000</v>
      </c>
      <c r="B1885" s="5" t="s">
        <v>2016</v>
      </c>
    </row>
    <row r="1886" spans="1:2" x14ac:dyDescent="0.35">
      <c r="A1886" s="4">
        <v>621100</v>
      </c>
      <c r="B1886" s="5" t="s">
        <v>2017</v>
      </c>
    </row>
    <row r="1887" spans="1:2" x14ac:dyDescent="0.35">
      <c r="A1887" s="4">
        <v>621200</v>
      </c>
      <c r="B1887" s="5" t="s">
        <v>2018</v>
      </c>
    </row>
    <row r="1888" spans="1:2" x14ac:dyDescent="0.35">
      <c r="A1888" s="4">
        <v>621300</v>
      </c>
      <c r="B1888" s="5" t="s">
        <v>2019</v>
      </c>
    </row>
    <row r="1889" spans="1:2" x14ac:dyDescent="0.35">
      <c r="A1889" s="4">
        <v>621400</v>
      </c>
      <c r="B1889" s="5" t="s">
        <v>2020</v>
      </c>
    </row>
    <row r="1890" spans="1:2" x14ac:dyDescent="0.35">
      <c r="A1890" s="4">
        <v>621900</v>
      </c>
      <c r="B1890" s="5" t="s">
        <v>2021</v>
      </c>
    </row>
    <row r="1891" spans="1:2" x14ac:dyDescent="0.35">
      <c r="A1891" s="4">
        <v>622100</v>
      </c>
      <c r="B1891" s="5" t="s">
        <v>2022</v>
      </c>
    </row>
    <row r="1892" spans="1:2" x14ac:dyDescent="0.35">
      <c r="A1892" s="4">
        <v>623100</v>
      </c>
      <c r="B1892" s="5" t="s">
        <v>2023</v>
      </c>
    </row>
    <row r="1893" spans="1:2" x14ac:dyDescent="0.35">
      <c r="A1893" s="4">
        <v>623212</v>
      </c>
      <c r="B1893" s="5" t="s">
        <v>2024</v>
      </c>
    </row>
    <row r="1894" spans="1:2" x14ac:dyDescent="0.35">
      <c r="A1894" s="4">
        <v>624100</v>
      </c>
      <c r="B1894" s="5" t="s">
        <v>2025</v>
      </c>
    </row>
    <row r="1895" spans="1:2" x14ac:dyDescent="0.35">
      <c r="A1895" s="4">
        <v>624200</v>
      </c>
      <c r="B1895" s="5" t="s">
        <v>2026</v>
      </c>
    </row>
    <row r="1896" spans="1:2" x14ac:dyDescent="0.35">
      <c r="A1896" s="4">
        <v>624300</v>
      </c>
      <c r="B1896" s="5" t="s">
        <v>2027</v>
      </c>
    </row>
    <row r="1897" spans="1:2" x14ac:dyDescent="0.35">
      <c r="A1897" s="4">
        <v>624400</v>
      </c>
      <c r="B1897" s="5" t="s">
        <v>2028</v>
      </c>
    </row>
    <row r="1898" spans="1:2" x14ac:dyDescent="0.35">
      <c r="A1898" s="4">
        <v>624500</v>
      </c>
      <c r="B1898" s="5" t="s">
        <v>2029</v>
      </c>
    </row>
    <row r="1899" spans="1:2" x14ac:dyDescent="0.35">
      <c r="A1899" s="4">
        <v>624600</v>
      </c>
      <c r="B1899" s="5" t="s">
        <v>2030</v>
      </c>
    </row>
    <row r="1900" spans="1:2" x14ac:dyDescent="0.35">
      <c r="A1900" s="4">
        <v>624900</v>
      </c>
      <c r="B1900" s="5" t="s">
        <v>2031</v>
      </c>
    </row>
    <row r="1901" spans="1:2" x14ac:dyDescent="0.35">
      <c r="A1901" s="4">
        <v>625100</v>
      </c>
      <c r="B1901" s="5" t="s">
        <v>2032</v>
      </c>
    </row>
    <row r="1902" spans="1:2" x14ac:dyDescent="0.35">
      <c r="A1902" s="4">
        <v>625300</v>
      </c>
      <c r="B1902" s="5" t="s">
        <v>2033</v>
      </c>
    </row>
    <row r="1903" spans="1:2" x14ac:dyDescent="0.35">
      <c r="A1903" s="4">
        <v>625900</v>
      </c>
      <c r="B1903" s="5" t="s">
        <v>2034</v>
      </c>
    </row>
    <row r="1904" spans="1:2" x14ac:dyDescent="0.35">
      <c r="A1904" s="4">
        <v>626100</v>
      </c>
      <c r="B1904" s="5" t="s">
        <v>2035</v>
      </c>
    </row>
    <row r="1905" spans="1:2" x14ac:dyDescent="0.35">
      <c r="A1905" s="4">
        <v>626200</v>
      </c>
      <c r="B1905" s="5" t="s">
        <v>2036</v>
      </c>
    </row>
    <row r="1906" spans="1:2" x14ac:dyDescent="0.35">
      <c r="A1906" s="4">
        <v>626300</v>
      </c>
      <c r="B1906" s="5" t="s">
        <v>2037</v>
      </c>
    </row>
    <row r="1907" spans="1:2" x14ac:dyDescent="0.35">
      <c r="A1907" s="4">
        <v>627100</v>
      </c>
      <c r="B1907" s="5" t="s">
        <v>2038</v>
      </c>
    </row>
    <row r="1908" spans="1:2" x14ac:dyDescent="0.35">
      <c r="A1908" s="4">
        <v>627200</v>
      </c>
      <c r="B1908" s="5" t="s">
        <v>2039</v>
      </c>
    </row>
    <row r="1909" spans="1:2" x14ac:dyDescent="0.35">
      <c r="A1909" s="4">
        <v>627400</v>
      </c>
      <c r="B1909" s="5" t="s">
        <v>2040</v>
      </c>
    </row>
    <row r="1910" spans="1:2" x14ac:dyDescent="0.35">
      <c r="A1910" s="4">
        <v>628200</v>
      </c>
      <c r="B1910" s="5" t="s">
        <v>2041</v>
      </c>
    </row>
    <row r="1911" spans="1:2" x14ac:dyDescent="0.35">
      <c r="A1911" s="4">
        <v>628300</v>
      </c>
      <c r="B1911" s="5" t="s">
        <v>2042</v>
      </c>
    </row>
    <row r="1912" spans="1:2" x14ac:dyDescent="0.35">
      <c r="A1912" s="4">
        <v>628400</v>
      </c>
      <c r="B1912" s="5" t="s">
        <v>2043</v>
      </c>
    </row>
    <row r="1913" spans="1:2" x14ac:dyDescent="0.35">
      <c r="A1913" s="4">
        <v>628500</v>
      </c>
      <c r="B1913" s="5" t="s">
        <v>2044</v>
      </c>
    </row>
    <row r="1914" spans="1:2" x14ac:dyDescent="0.35">
      <c r="A1914" s="4">
        <v>628900</v>
      </c>
      <c r="B1914" s="5" t="s">
        <v>2045</v>
      </c>
    </row>
    <row r="1915" spans="1:2" x14ac:dyDescent="0.35">
      <c r="A1915" s="4">
        <v>629200</v>
      </c>
      <c r="B1915" s="5" t="s">
        <v>2046</v>
      </c>
    </row>
    <row r="1916" spans="1:2" x14ac:dyDescent="0.35">
      <c r="A1916" s="4">
        <v>629300</v>
      </c>
      <c r="B1916" s="5" t="s">
        <v>2047</v>
      </c>
    </row>
    <row r="1917" spans="1:2" x14ac:dyDescent="0.35">
      <c r="A1917" s="4">
        <v>629400</v>
      </c>
      <c r="B1917" s="5" t="s">
        <v>2048</v>
      </c>
    </row>
    <row r="1918" spans="1:2" x14ac:dyDescent="0.35">
      <c r="A1918" s="4">
        <v>629500</v>
      </c>
      <c r="B1918" s="5" t="s">
        <v>2049</v>
      </c>
    </row>
    <row r="1919" spans="1:2" x14ac:dyDescent="0.35">
      <c r="A1919" s="4">
        <v>629600</v>
      </c>
      <c r="B1919" s="5" t="s">
        <v>2050</v>
      </c>
    </row>
    <row r="1920" spans="1:2" x14ac:dyDescent="0.35">
      <c r="A1920" s="4">
        <v>629700</v>
      </c>
      <c r="B1920" s="5" t="s">
        <v>2051</v>
      </c>
    </row>
    <row r="1921" spans="1:2" x14ac:dyDescent="0.35">
      <c r="A1921" s="4">
        <v>629900</v>
      </c>
      <c r="B1921" s="5" t="s">
        <v>2052</v>
      </c>
    </row>
    <row r="1922" spans="1:2" x14ac:dyDescent="0.35">
      <c r="A1922" s="4">
        <v>641200</v>
      </c>
      <c r="B1922" s="5" t="s">
        <v>2053</v>
      </c>
    </row>
    <row r="1923" spans="1:2" x14ac:dyDescent="0.35">
      <c r="A1923" s="4">
        <v>641300</v>
      </c>
      <c r="B1923" s="5" t="s">
        <v>2054</v>
      </c>
    </row>
    <row r="1924" spans="1:2" x14ac:dyDescent="0.35">
      <c r="A1924" s="4">
        <v>641400</v>
      </c>
      <c r="B1924" s="5" t="s">
        <v>2055</v>
      </c>
    </row>
    <row r="1925" spans="1:2" x14ac:dyDescent="0.35">
      <c r="A1925" s="4">
        <v>641500</v>
      </c>
      <c r="B1925" s="5" t="s">
        <v>2056</v>
      </c>
    </row>
    <row r="1926" spans="1:2" x14ac:dyDescent="0.35">
      <c r="A1926" s="4">
        <v>641900</v>
      </c>
      <c r="B1926" s="5" t="s">
        <v>2057</v>
      </c>
    </row>
    <row r="1927" spans="1:2" x14ac:dyDescent="0.35">
      <c r="A1927" s="4">
        <v>642100</v>
      </c>
      <c r="B1927" s="5" t="s">
        <v>2058</v>
      </c>
    </row>
    <row r="1928" spans="1:2" x14ac:dyDescent="0.35">
      <c r="A1928" s="4">
        <v>642200</v>
      </c>
      <c r="B1928" s="5" t="s">
        <v>2059</v>
      </c>
    </row>
    <row r="1929" spans="1:2" x14ac:dyDescent="0.35">
      <c r="A1929" s="4">
        <v>699900</v>
      </c>
      <c r="B1929" s="5" t="s">
        <v>2060</v>
      </c>
    </row>
    <row r="1930" spans="1:2" x14ac:dyDescent="0.35">
      <c r="A1930" s="4">
        <v>700000</v>
      </c>
      <c r="B1930" s="5" t="s">
        <v>2061</v>
      </c>
    </row>
    <row r="1931" spans="1:2" x14ac:dyDescent="0.35">
      <c r="A1931" s="4">
        <v>700001</v>
      </c>
      <c r="B1931" s="5" t="s">
        <v>2062</v>
      </c>
    </row>
    <row r="1932" spans="1:2" x14ac:dyDescent="0.35">
      <c r="A1932" s="4">
        <v>700002</v>
      </c>
      <c r="B1932" s="5" t="s">
        <v>2063</v>
      </c>
    </row>
    <row r="1933" spans="1:2" x14ac:dyDescent="0.35">
      <c r="A1933" s="4">
        <v>700003</v>
      </c>
      <c r="B1933" s="5" t="s">
        <v>2064</v>
      </c>
    </row>
    <row r="1934" spans="1:2" x14ac:dyDescent="0.35">
      <c r="A1934" s="4">
        <v>700004</v>
      </c>
      <c r="B1934" s="5" t="s">
        <v>2065</v>
      </c>
    </row>
    <row r="1935" spans="1:2" x14ac:dyDescent="0.35">
      <c r="A1935" s="4">
        <v>700010</v>
      </c>
      <c r="B1935" s="5" t="s">
        <v>2066</v>
      </c>
    </row>
    <row r="1936" spans="1:2" x14ac:dyDescent="0.35">
      <c r="A1936" s="4">
        <v>700011</v>
      </c>
      <c r="B1936" s="5" t="s">
        <v>2067</v>
      </c>
    </row>
    <row r="1937" spans="1:2" x14ac:dyDescent="0.35">
      <c r="A1937" s="4">
        <v>700020</v>
      </c>
      <c r="B1937" s="5" t="s">
        <v>2068</v>
      </c>
    </row>
    <row r="1938" spans="1:2" x14ac:dyDescent="0.35">
      <c r="A1938" s="4">
        <v>700030</v>
      </c>
      <c r="B1938" s="5" t="s">
        <v>2069</v>
      </c>
    </row>
    <row r="1939" spans="1:2" x14ac:dyDescent="0.35">
      <c r="A1939" s="4">
        <v>700040</v>
      </c>
      <c r="B1939" s="5" t="s">
        <v>2070</v>
      </c>
    </row>
    <row r="1940" spans="1:2" x14ac:dyDescent="0.35">
      <c r="A1940" s="4">
        <v>700050</v>
      </c>
      <c r="B1940" s="5" t="s">
        <v>2071</v>
      </c>
    </row>
    <row r="1941" spans="1:2" x14ac:dyDescent="0.35">
      <c r="A1941" s="4">
        <v>700060</v>
      </c>
      <c r="B1941" s="5" t="s">
        <v>2072</v>
      </c>
    </row>
    <row r="1942" spans="1:2" x14ac:dyDescent="0.35">
      <c r="A1942" s="4">
        <v>700070</v>
      </c>
      <c r="B1942" s="5" t="s">
        <v>2073</v>
      </c>
    </row>
    <row r="1943" spans="1:2" x14ac:dyDescent="0.35">
      <c r="A1943" s="4">
        <v>700080</v>
      </c>
      <c r="B1943" s="5" t="s">
        <v>2074</v>
      </c>
    </row>
    <row r="1944" spans="1:2" x14ac:dyDescent="0.35">
      <c r="A1944" s="4">
        <v>700090</v>
      </c>
      <c r="B1944" s="5" t="s">
        <v>2075</v>
      </c>
    </row>
    <row r="1945" spans="1:2" x14ac:dyDescent="0.35">
      <c r="A1945" s="4">
        <v>700100</v>
      </c>
      <c r="B1945" s="5" t="s">
        <v>2076</v>
      </c>
    </row>
    <row r="1946" spans="1:2" x14ac:dyDescent="0.35">
      <c r="A1946" s="4">
        <v>700110</v>
      </c>
      <c r="B1946" s="5" t="s">
        <v>2077</v>
      </c>
    </row>
    <row r="1947" spans="1:2" x14ac:dyDescent="0.35">
      <c r="A1947" s="4">
        <v>700120</v>
      </c>
      <c r="B1947" s="5" t="s">
        <v>2078</v>
      </c>
    </row>
    <row r="1948" spans="1:2" x14ac:dyDescent="0.35">
      <c r="A1948" s="4">
        <v>700130</v>
      </c>
      <c r="B1948" s="5" t="s">
        <v>2079</v>
      </c>
    </row>
    <row r="1949" spans="1:2" x14ac:dyDescent="0.35">
      <c r="A1949" s="4">
        <v>700140</v>
      </c>
      <c r="B1949" s="5" t="s">
        <v>2080</v>
      </c>
    </row>
    <row r="1950" spans="1:2" x14ac:dyDescent="0.35">
      <c r="A1950" s="4">
        <v>700150</v>
      </c>
      <c r="B1950" s="5" t="s">
        <v>2081</v>
      </c>
    </row>
    <row r="1951" spans="1:2" x14ac:dyDescent="0.35">
      <c r="A1951" s="4">
        <v>700160</v>
      </c>
      <c r="B1951" s="5" t="s">
        <v>2082</v>
      </c>
    </row>
    <row r="1952" spans="1:2" x14ac:dyDescent="0.35">
      <c r="A1952" s="4">
        <v>700161</v>
      </c>
      <c r="B1952" s="5" t="s">
        <v>2083</v>
      </c>
    </row>
    <row r="1953" spans="1:2" x14ac:dyDescent="0.35">
      <c r="A1953" s="4">
        <v>700170</v>
      </c>
      <c r="B1953" s="5" t="s">
        <v>2084</v>
      </c>
    </row>
    <row r="1954" spans="1:2" x14ac:dyDescent="0.35">
      <c r="A1954" s="4">
        <v>700180</v>
      </c>
      <c r="B1954" s="5" t="s">
        <v>2085</v>
      </c>
    </row>
    <row r="1955" spans="1:2" x14ac:dyDescent="0.35">
      <c r="A1955" s="4">
        <v>700190</v>
      </c>
      <c r="B1955" s="5" t="s">
        <v>2086</v>
      </c>
    </row>
    <row r="1956" spans="1:2" x14ac:dyDescent="0.35">
      <c r="A1956" s="4">
        <v>700200</v>
      </c>
      <c r="B1956" s="5" t="s">
        <v>2087</v>
      </c>
    </row>
    <row r="1957" spans="1:2" x14ac:dyDescent="0.35">
      <c r="A1957" s="4">
        <v>700210</v>
      </c>
      <c r="B1957" s="5" t="s">
        <v>2088</v>
      </c>
    </row>
    <row r="1958" spans="1:2" x14ac:dyDescent="0.35">
      <c r="A1958" s="4">
        <v>700220</v>
      </c>
      <c r="B1958" s="5" t="s">
        <v>2089</v>
      </c>
    </row>
    <row r="1959" spans="1:2" x14ac:dyDescent="0.35">
      <c r="A1959" s="4">
        <v>700230</v>
      </c>
      <c r="B1959" s="5" t="s">
        <v>2090</v>
      </c>
    </row>
    <row r="1960" spans="1:2" x14ac:dyDescent="0.35">
      <c r="A1960" s="4">
        <v>700240</v>
      </c>
      <c r="B1960" s="5" t="s">
        <v>2091</v>
      </c>
    </row>
    <row r="1961" spans="1:2" x14ac:dyDescent="0.35">
      <c r="A1961" s="4">
        <v>700250</v>
      </c>
      <c r="B1961" s="5" t="s">
        <v>2092</v>
      </c>
    </row>
    <row r="1962" spans="1:2" x14ac:dyDescent="0.35">
      <c r="A1962" s="4">
        <v>700260</v>
      </c>
      <c r="B1962" s="5" t="s">
        <v>2093</v>
      </c>
    </row>
    <row r="1963" spans="1:2" x14ac:dyDescent="0.35">
      <c r="A1963" s="4">
        <v>700270</v>
      </c>
      <c r="B1963" s="5" t="s">
        <v>2094</v>
      </c>
    </row>
    <row r="1964" spans="1:2" x14ac:dyDescent="0.35">
      <c r="A1964" s="4">
        <v>700280</v>
      </c>
      <c r="B1964" s="5" t="s">
        <v>2095</v>
      </c>
    </row>
    <row r="1965" spans="1:2" x14ac:dyDescent="0.35">
      <c r="A1965" s="4">
        <v>700290</v>
      </c>
      <c r="B1965" s="5" t="s">
        <v>2096</v>
      </c>
    </row>
    <row r="1966" spans="1:2" x14ac:dyDescent="0.35">
      <c r="A1966" s="4">
        <v>700291</v>
      </c>
      <c r="B1966" s="5" t="s">
        <v>2097</v>
      </c>
    </row>
    <row r="1967" spans="1:2" x14ac:dyDescent="0.35">
      <c r="A1967" s="4">
        <v>700300</v>
      </c>
      <c r="B1967" s="5" t="s">
        <v>2098</v>
      </c>
    </row>
    <row r="1968" spans="1:2" x14ac:dyDescent="0.35">
      <c r="A1968" s="4">
        <v>700310</v>
      </c>
      <c r="B1968" s="5" t="s">
        <v>2099</v>
      </c>
    </row>
    <row r="1969" spans="1:2" x14ac:dyDescent="0.35">
      <c r="A1969" s="4">
        <v>700311</v>
      </c>
      <c r="B1969" s="5" t="s">
        <v>2100</v>
      </c>
    </row>
    <row r="1970" spans="1:2" x14ac:dyDescent="0.35">
      <c r="A1970" s="4">
        <v>700320</v>
      </c>
      <c r="B1970" s="5" t="s">
        <v>2101</v>
      </c>
    </row>
    <row r="1971" spans="1:2" x14ac:dyDescent="0.35">
      <c r="A1971" s="4">
        <v>700330</v>
      </c>
      <c r="B1971" s="5" t="s">
        <v>2102</v>
      </c>
    </row>
    <row r="1972" spans="1:2" x14ac:dyDescent="0.35">
      <c r="A1972" s="4">
        <v>700340</v>
      </c>
      <c r="B1972" s="5" t="s">
        <v>2103</v>
      </c>
    </row>
    <row r="1973" spans="1:2" x14ac:dyDescent="0.35">
      <c r="A1973" s="4">
        <v>700350</v>
      </c>
      <c r="B1973" s="5" t="s">
        <v>2104</v>
      </c>
    </row>
    <row r="1974" spans="1:2" x14ac:dyDescent="0.35">
      <c r="A1974" s="4">
        <v>700360</v>
      </c>
      <c r="B1974" s="5" t="s">
        <v>2105</v>
      </c>
    </row>
    <row r="1975" spans="1:2" x14ac:dyDescent="0.35">
      <c r="A1975" s="4">
        <v>700370</v>
      </c>
      <c r="B1975" s="5" t="s">
        <v>2106</v>
      </c>
    </row>
    <row r="1976" spans="1:2" x14ac:dyDescent="0.35">
      <c r="A1976" s="4">
        <v>700380</v>
      </c>
      <c r="B1976" s="5" t="s">
        <v>2107</v>
      </c>
    </row>
    <row r="1977" spans="1:2" x14ac:dyDescent="0.35">
      <c r="A1977" s="4">
        <v>700420</v>
      </c>
      <c r="B1977" s="5" t="s">
        <v>2108</v>
      </c>
    </row>
    <row r="1978" spans="1:2" x14ac:dyDescent="0.35">
      <c r="A1978" s="4">
        <v>700430</v>
      </c>
      <c r="B1978" s="5" t="s">
        <v>2109</v>
      </c>
    </row>
    <row r="1979" spans="1:2" x14ac:dyDescent="0.35">
      <c r="A1979" s="4">
        <v>700440</v>
      </c>
      <c r="B1979" s="5" t="s">
        <v>2110</v>
      </c>
    </row>
    <row r="1980" spans="1:2" x14ac:dyDescent="0.35">
      <c r="A1980" s="4">
        <v>700450</v>
      </c>
      <c r="B1980" s="5" t="s">
        <v>2111</v>
      </c>
    </row>
    <row r="1981" spans="1:2" x14ac:dyDescent="0.35">
      <c r="A1981" s="4">
        <v>700460</v>
      </c>
      <c r="B1981" s="5" t="s">
        <v>2112</v>
      </c>
    </row>
    <row r="1982" spans="1:2" x14ac:dyDescent="0.35">
      <c r="A1982" s="4">
        <v>700470</v>
      </c>
      <c r="B1982" s="5" t="s">
        <v>2113</v>
      </c>
    </row>
    <row r="1983" spans="1:2" x14ac:dyDescent="0.35">
      <c r="A1983" s="4">
        <v>700480</v>
      </c>
      <c r="B1983" s="5" t="s">
        <v>2114</v>
      </c>
    </row>
    <row r="1984" spans="1:2" x14ac:dyDescent="0.35">
      <c r="A1984" s="4">
        <v>700500</v>
      </c>
      <c r="B1984" s="5" t="s">
        <v>2115</v>
      </c>
    </row>
    <row r="1985" spans="1:2" x14ac:dyDescent="0.35">
      <c r="A1985" s="4">
        <v>700510</v>
      </c>
      <c r="B1985" s="5" t="s">
        <v>2116</v>
      </c>
    </row>
    <row r="1986" spans="1:2" x14ac:dyDescent="0.35">
      <c r="A1986" s="4">
        <v>700520</v>
      </c>
      <c r="B1986" s="5" t="s">
        <v>2117</v>
      </c>
    </row>
    <row r="1987" spans="1:2" x14ac:dyDescent="0.35">
      <c r="A1987" s="4">
        <v>700530</v>
      </c>
      <c r="B1987" s="5" t="s">
        <v>2118</v>
      </c>
    </row>
    <row r="1988" spans="1:2" x14ac:dyDescent="0.35">
      <c r="A1988" s="4">
        <v>700540</v>
      </c>
      <c r="B1988" s="5" t="s">
        <v>2119</v>
      </c>
    </row>
    <row r="1989" spans="1:2" x14ac:dyDescent="0.35">
      <c r="A1989" s="4">
        <v>700550</v>
      </c>
      <c r="B1989" s="5" t="s">
        <v>2120</v>
      </c>
    </row>
    <row r="1990" spans="1:2" x14ac:dyDescent="0.35">
      <c r="A1990" s="4">
        <v>700560</v>
      </c>
      <c r="B1990" s="5" t="s">
        <v>2121</v>
      </c>
    </row>
    <row r="1991" spans="1:2" x14ac:dyDescent="0.35">
      <c r="A1991" s="4">
        <v>700570</v>
      </c>
      <c r="B1991" s="5" t="s">
        <v>2122</v>
      </c>
    </row>
    <row r="1992" spans="1:2" x14ac:dyDescent="0.35">
      <c r="A1992" s="4">
        <v>700580</v>
      </c>
      <c r="B1992" s="5" t="s">
        <v>2123</v>
      </c>
    </row>
    <row r="1993" spans="1:2" x14ac:dyDescent="0.35">
      <c r="A1993" s="4">
        <v>700590</v>
      </c>
      <c r="B1993" s="5" t="s">
        <v>2124</v>
      </c>
    </row>
    <row r="1994" spans="1:2" x14ac:dyDescent="0.35">
      <c r="A1994" s="4">
        <v>700600</v>
      </c>
      <c r="B1994" s="5" t="s">
        <v>2125</v>
      </c>
    </row>
    <row r="1995" spans="1:2" x14ac:dyDescent="0.35">
      <c r="A1995" s="4">
        <v>700610</v>
      </c>
      <c r="B1995" s="5" t="s">
        <v>2126</v>
      </c>
    </row>
    <row r="1996" spans="1:2" x14ac:dyDescent="0.35">
      <c r="A1996" s="4">
        <v>700660</v>
      </c>
      <c r="B1996" s="5" t="s">
        <v>2127</v>
      </c>
    </row>
    <row r="1997" spans="1:2" x14ac:dyDescent="0.35">
      <c r="A1997" s="4">
        <v>700670</v>
      </c>
      <c r="B1997" s="5" t="s">
        <v>2128</v>
      </c>
    </row>
    <row r="1998" spans="1:2" x14ac:dyDescent="0.35">
      <c r="A1998" s="4">
        <v>700680</v>
      </c>
      <c r="B1998" s="5" t="s">
        <v>2129</v>
      </c>
    </row>
    <row r="1999" spans="1:2" x14ac:dyDescent="0.35">
      <c r="A1999" s="4">
        <v>700690</v>
      </c>
      <c r="B1999" s="5" t="s">
        <v>2130</v>
      </c>
    </row>
    <row r="2000" spans="1:2" x14ac:dyDescent="0.35">
      <c r="A2000" s="4">
        <v>700700</v>
      </c>
      <c r="B2000" s="5" t="s">
        <v>2131</v>
      </c>
    </row>
    <row r="2001" spans="1:2" x14ac:dyDescent="0.35">
      <c r="A2001" s="4">
        <v>700710</v>
      </c>
      <c r="B2001" s="5" t="s">
        <v>2132</v>
      </c>
    </row>
    <row r="2002" spans="1:2" x14ac:dyDescent="0.35">
      <c r="A2002" s="4">
        <v>700730</v>
      </c>
      <c r="B2002" s="5" t="s">
        <v>2133</v>
      </c>
    </row>
    <row r="2003" spans="1:2" x14ac:dyDescent="0.35">
      <c r="A2003" s="4">
        <v>700740</v>
      </c>
      <c r="B2003" s="5" t="s">
        <v>2134</v>
      </c>
    </row>
    <row r="2004" spans="1:2" x14ac:dyDescent="0.35">
      <c r="A2004" s="4">
        <v>700750</v>
      </c>
      <c r="B2004" s="5" t="s">
        <v>2135</v>
      </c>
    </row>
    <row r="2005" spans="1:2" x14ac:dyDescent="0.35">
      <c r="A2005" s="4">
        <v>700770</v>
      </c>
      <c r="B2005" s="5" t="s">
        <v>2136</v>
      </c>
    </row>
    <row r="2006" spans="1:2" x14ac:dyDescent="0.35">
      <c r="A2006" s="4">
        <v>700780</v>
      </c>
      <c r="B2006" s="5" t="s">
        <v>2137</v>
      </c>
    </row>
    <row r="2007" spans="1:2" x14ac:dyDescent="0.35">
      <c r="A2007" s="4">
        <v>700790</v>
      </c>
      <c r="B2007" s="5" t="s">
        <v>2138</v>
      </c>
    </row>
    <row r="2008" spans="1:2" x14ac:dyDescent="0.35">
      <c r="A2008" s="4">
        <v>700800</v>
      </c>
      <c r="B2008" s="5" t="s">
        <v>2139</v>
      </c>
    </row>
    <row r="2009" spans="1:2" x14ac:dyDescent="0.35">
      <c r="A2009" s="4">
        <v>700810</v>
      </c>
      <c r="B2009" s="5" t="s">
        <v>2140</v>
      </c>
    </row>
    <row r="2010" spans="1:2" x14ac:dyDescent="0.35">
      <c r="A2010" s="4">
        <v>700820</v>
      </c>
      <c r="B2010" s="5" t="s">
        <v>2141</v>
      </c>
    </row>
    <row r="2011" spans="1:2" x14ac:dyDescent="0.35">
      <c r="A2011" s="4">
        <v>700830</v>
      </c>
      <c r="B2011" s="5" t="s">
        <v>2142</v>
      </c>
    </row>
    <row r="2012" spans="1:2" x14ac:dyDescent="0.35">
      <c r="A2012" s="4">
        <v>700840</v>
      </c>
      <c r="B2012" s="5" t="s">
        <v>2143</v>
      </c>
    </row>
    <row r="2013" spans="1:2" x14ac:dyDescent="0.35">
      <c r="A2013" s="4">
        <v>700850</v>
      </c>
      <c r="B2013" s="5" t="s">
        <v>2144</v>
      </c>
    </row>
    <row r="2014" spans="1:2" x14ac:dyDescent="0.35">
      <c r="A2014" s="4">
        <v>700860</v>
      </c>
      <c r="B2014" s="5" t="s">
        <v>2145</v>
      </c>
    </row>
    <row r="2015" spans="1:2" x14ac:dyDescent="0.35">
      <c r="A2015" s="4">
        <v>700870</v>
      </c>
      <c r="B2015" s="5" t="s">
        <v>2146</v>
      </c>
    </row>
    <row r="2016" spans="1:2" x14ac:dyDescent="0.35">
      <c r="A2016" s="4">
        <v>700880</v>
      </c>
      <c r="B2016" s="5" t="s">
        <v>2147</v>
      </c>
    </row>
    <row r="2017" spans="1:2" x14ac:dyDescent="0.35">
      <c r="A2017" s="4">
        <v>700890</v>
      </c>
      <c r="B2017" s="5" t="s">
        <v>2148</v>
      </c>
    </row>
    <row r="2018" spans="1:2" x14ac:dyDescent="0.35">
      <c r="A2018" s="4">
        <v>700900</v>
      </c>
      <c r="B2018" s="5" t="s">
        <v>2149</v>
      </c>
    </row>
    <row r="2019" spans="1:2" x14ac:dyDescent="0.35">
      <c r="A2019" s="4">
        <v>700910</v>
      </c>
      <c r="B2019" s="5" t="s">
        <v>2150</v>
      </c>
    </row>
    <row r="2020" spans="1:2" x14ac:dyDescent="0.35">
      <c r="A2020" s="4">
        <v>700920</v>
      </c>
      <c r="B2020" s="5" t="s">
        <v>2151</v>
      </c>
    </row>
    <row r="2021" spans="1:2" x14ac:dyDescent="0.35">
      <c r="A2021" s="4">
        <v>700930</v>
      </c>
      <c r="B2021" s="5" t="s">
        <v>2152</v>
      </c>
    </row>
    <row r="2022" spans="1:2" x14ac:dyDescent="0.35">
      <c r="A2022" s="4">
        <v>700940</v>
      </c>
      <c r="B2022" s="5" t="s">
        <v>2153</v>
      </c>
    </row>
    <row r="2023" spans="1:2" x14ac:dyDescent="0.35">
      <c r="A2023" s="4">
        <v>700950</v>
      </c>
      <c r="B2023" s="5" t="s">
        <v>2154</v>
      </c>
    </row>
    <row r="2024" spans="1:2" x14ac:dyDescent="0.35">
      <c r="A2024" s="4">
        <v>700960</v>
      </c>
      <c r="B2024" s="5" t="s">
        <v>2155</v>
      </c>
    </row>
    <row r="2025" spans="1:2" x14ac:dyDescent="0.35">
      <c r="A2025" s="4">
        <v>700990</v>
      </c>
      <c r="B2025" s="5" t="s">
        <v>2156</v>
      </c>
    </row>
    <row r="2026" spans="1:2" x14ac:dyDescent="0.35">
      <c r="A2026" s="4">
        <v>701000</v>
      </c>
      <c r="B2026" s="5" t="s">
        <v>2157</v>
      </c>
    </row>
    <row r="2027" spans="1:2" x14ac:dyDescent="0.35">
      <c r="A2027" s="4">
        <v>702000</v>
      </c>
      <c r="B2027" s="5" t="s">
        <v>2158</v>
      </c>
    </row>
    <row r="2028" spans="1:2" x14ac:dyDescent="0.35">
      <c r="A2028" s="4">
        <v>702100</v>
      </c>
      <c r="B2028" s="5" t="s">
        <v>2159</v>
      </c>
    </row>
    <row r="2029" spans="1:2" x14ac:dyDescent="0.35">
      <c r="A2029" s="4">
        <v>703000</v>
      </c>
      <c r="B2029" s="5" t="s">
        <v>2160</v>
      </c>
    </row>
    <row r="2030" spans="1:2" x14ac:dyDescent="0.35">
      <c r="A2030" s="4">
        <v>704000</v>
      </c>
      <c r="B2030" s="5" t="s">
        <v>2161</v>
      </c>
    </row>
    <row r="2031" spans="1:2" x14ac:dyDescent="0.35">
      <c r="A2031" s="4">
        <v>710000</v>
      </c>
      <c r="B2031" s="5" t="s">
        <v>2162</v>
      </c>
    </row>
    <row r="2032" spans="1:2" x14ac:dyDescent="0.35">
      <c r="A2032" s="4">
        <v>711001</v>
      </c>
      <c r="B2032" s="5" t="s">
        <v>2163</v>
      </c>
    </row>
    <row r="2033" spans="1:2" x14ac:dyDescent="0.35">
      <c r="A2033" s="4">
        <v>711050</v>
      </c>
      <c r="B2033" s="5" t="s">
        <v>2164</v>
      </c>
    </row>
    <row r="2034" spans="1:2" x14ac:dyDescent="0.35">
      <c r="A2034" s="4">
        <v>711100</v>
      </c>
      <c r="B2034" s="5" t="s">
        <v>2165</v>
      </c>
    </row>
    <row r="2035" spans="1:2" x14ac:dyDescent="0.35">
      <c r="A2035" s="4">
        <v>711200</v>
      </c>
      <c r="B2035" s="5" t="s">
        <v>2166</v>
      </c>
    </row>
    <row r="2036" spans="1:2" x14ac:dyDescent="0.35">
      <c r="A2036" s="4">
        <v>711300</v>
      </c>
      <c r="B2036" s="5" t="s">
        <v>2167</v>
      </c>
    </row>
    <row r="2037" spans="1:2" x14ac:dyDescent="0.35">
      <c r="A2037" s="4">
        <v>711400</v>
      </c>
      <c r="B2037" s="5" t="s">
        <v>2168</v>
      </c>
    </row>
    <row r="2038" spans="1:2" x14ac:dyDescent="0.35">
      <c r="A2038" s="4">
        <v>711500</v>
      </c>
      <c r="B2038" s="5" t="s">
        <v>2169</v>
      </c>
    </row>
    <row r="2039" spans="1:2" x14ac:dyDescent="0.35">
      <c r="A2039" s="4">
        <v>711600</v>
      </c>
      <c r="B2039" s="5" t="s">
        <v>2170</v>
      </c>
    </row>
    <row r="2040" spans="1:2" x14ac:dyDescent="0.35">
      <c r="A2040" s="4">
        <v>711900</v>
      </c>
      <c r="B2040" s="5" t="s">
        <v>2171</v>
      </c>
    </row>
    <row r="2041" spans="1:2" x14ac:dyDescent="0.35">
      <c r="A2041" s="4">
        <v>712000</v>
      </c>
      <c r="B2041" s="5" t="s">
        <v>2172</v>
      </c>
    </row>
    <row r="2042" spans="1:2" x14ac:dyDescent="0.35">
      <c r="A2042" s="4">
        <v>712200</v>
      </c>
      <c r="B2042" s="5" t="s">
        <v>2173</v>
      </c>
    </row>
    <row r="2043" spans="1:2" x14ac:dyDescent="0.35">
      <c r="A2043" s="4">
        <v>712300</v>
      </c>
      <c r="B2043" s="5" t="s">
        <v>2174</v>
      </c>
    </row>
    <row r="2044" spans="1:2" x14ac:dyDescent="0.35">
      <c r="A2044" s="4">
        <v>712400</v>
      </c>
      <c r="B2044" s="5" t="s">
        <v>2175</v>
      </c>
    </row>
    <row r="2045" spans="1:2" x14ac:dyDescent="0.35">
      <c r="A2045" s="4">
        <v>712500</v>
      </c>
      <c r="B2045" s="5" t="s">
        <v>2176</v>
      </c>
    </row>
    <row r="2046" spans="1:2" x14ac:dyDescent="0.35">
      <c r="A2046" s="4">
        <v>712600</v>
      </c>
      <c r="B2046" s="5" t="s">
        <v>2177</v>
      </c>
    </row>
    <row r="2047" spans="1:2" x14ac:dyDescent="0.35">
      <c r="A2047" s="4">
        <v>712700</v>
      </c>
      <c r="B2047" s="5" t="s">
        <v>2178</v>
      </c>
    </row>
    <row r="2048" spans="1:2" x14ac:dyDescent="0.35">
      <c r="A2048" s="4">
        <v>712800</v>
      </c>
      <c r="B2048" s="5" t="s">
        <v>2179</v>
      </c>
    </row>
    <row r="2049" spans="1:2" x14ac:dyDescent="0.35">
      <c r="A2049" s="4">
        <v>712900</v>
      </c>
      <c r="B2049" s="5" t="s">
        <v>2180</v>
      </c>
    </row>
    <row r="2050" spans="1:2" x14ac:dyDescent="0.35">
      <c r="A2050" s="4">
        <v>713100</v>
      </c>
      <c r="B2050" s="5" t="s">
        <v>2181</v>
      </c>
    </row>
    <row r="2051" spans="1:2" x14ac:dyDescent="0.35">
      <c r="A2051" s="4">
        <v>713200</v>
      </c>
      <c r="B2051" s="5" t="s">
        <v>2182</v>
      </c>
    </row>
    <row r="2052" spans="1:2" x14ac:dyDescent="0.35">
      <c r="A2052" s="4">
        <v>713300</v>
      </c>
      <c r="B2052" s="5" t="s">
        <v>2183</v>
      </c>
    </row>
    <row r="2053" spans="1:2" x14ac:dyDescent="0.35">
      <c r="A2053" s="4">
        <v>713400</v>
      </c>
      <c r="B2053" s="5" t="s">
        <v>2184</v>
      </c>
    </row>
    <row r="2054" spans="1:2" x14ac:dyDescent="0.35">
      <c r="A2054" s="4">
        <v>713500</v>
      </c>
      <c r="B2054" s="5" t="s">
        <v>2185</v>
      </c>
    </row>
    <row r="2055" spans="1:2" x14ac:dyDescent="0.35">
      <c r="A2055" s="4">
        <v>713900</v>
      </c>
      <c r="B2055" s="5" t="s">
        <v>2186</v>
      </c>
    </row>
    <row r="2056" spans="1:2" x14ac:dyDescent="0.35">
      <c r="A2056" s="4">
        <v>721200</v>
      </c>
      <c r="B2056" s="5" t="s">
        <v>2187</v>
      </c>
    </row>
    <row r="2057" spans="1:2" x14ac:dyDescent="0.35">
      <c r="A2057" s="4">
        <v>721300</v>
      </c>
      <c r="B2057" s="5" t="s">
        <v>2188</v>
      </c>
    </row>
    <row r="2058" spans="1:2" x14ac:dyDescent="0.35">
      <c r="A2058" s="4">
        <v>721400</v>
      </c>
      <c r="B2058" s="5" t="s">
        <v>2189</v>
      </c>
    </row>
    <row r="2059" spans="1:2" x14ac:dyDescent="0.35">
      <c r="A2059" s="4">
        <v>721500</v>
      </c>
      <c r="B2059" s="5" t="s">
        <v>2190</v>
      </c>
    </row>
    <row r="2060" spans="1:2" x14ac:dyDescent="0.35">
      <c r="A2060" s="4">
        <v>721600</v>
      </c>
      <c r="B2060" s="5" t="s">
        <v>2191</v>
      </c>
    </row>
    <row r="2061" spans="1:2" x14ac:dyDescent="0.35">
      <c r="A2061" s="4">
        <v>721700</v>
      </c>
      <c r="B2061" s="5" t="s">
        <v>2192</v>
      </c>
    </row>
    <row r="2062" spans="1:2" x14ac:dyDescent="0.35">
      <c r="A2062" s="4">
        <v>721800</v>
      </c>
      <c r="B2062" s="5" t="s">
        <v>2193</v>
      </c>
    </row>
    <row r="2063" spans="1:2" x14ac:dyDescent="0.35">
      <c r="A2063" s="4">
        <v>721900</v>
      </c>
      <c r="B2063" s="5" t="s">
        <v>2194</v>
      </c>
    </row>
    <row r="2064" spans="1:2" x14ac:dyDescent="0.35">
      <c r="A2064" s="4">
        <v>722200</v>
      </c>
      <c r="B2064" s="5" t="s">
        <v>2195</v>
      </c>
    </row>
    <row r="2065" spans="1:2" x14ac:dyDescent="0.35">
      <c r="A2065" s="4">
        <v>722300</v>
      </c>
      <c r="B2065" s="5" t="s">
        <v>2196</v>
      </c>
    </row>
    <row r="2066" spans="1:2" x14ac:dyDescent="0.35">
      <c r="A2066" s="4">
        <v>722400</v>
      </c>
      <c r="B2066" s="5" t="s">
        <v>2197</v>
      </c>
    </row>
    <row r="2067" spans="1:2" x14ac:dyDescent="0.35">
      <c r="A2067" s="4">
        <v>722500</v>
      </c>
      <c r="B2067" s="5" t="s">
        <v>2198</v>
      </c>
    </row>
    <row r="2068" spans="1:2" x14ac:dyDescent="0.35">
      <c r="A2068" s="4">
        <v>722600</v>
      </c>
      <c r="B2068" s="5" t="s">
        <v>2199</v>
      </c>
    </row>
    <row r="2069" spans="1:2" x14ac:dyDescent="0.35">
      <c r="A2069" s="4">
        <v>722700</v>
      </c>
      <c r="B2069" s="5" t="s">
        <v>2200</v>
      </c>
    </row>
    <row r="2070" spans="1:2" x14ac:dyDescent="0.35">
      <c r="A2070" s="4">
        <v>722900</v>
      </c>
      <c r="B2070" s="5" t="s">
        <v>2201</v>
      </c>
    </row>
    <row r="2071" spans="1:2" x14ac:dyDescent="0.35">
      <c r="A2071" s="4">
        <v>723200</v>
      </c>
      <c r="B2071" s="5" t="s">
        <v>2202</v>
      </c>
    </row>
    <row r="2072" spans="1:2" x14ac:dyDescent="0.35">
      <c r="A2072" s="4">
        <v>723300</v>
      </c>
      <c r="B2072" s="5" t="s">
        <v>2203</v>
      </c>
    </row>
    <row r="2073" spans="1:2" x14ac:dyDescent="0.35">
      <c r="A2073" s="4">
        <v>723400</v>
      </c>
      <c r="B2073" s="5" t="s">
        <v>2204</v>
      </c>
    </row>
    <row r="2074" spans="1:2" x14ac:dyDescent="0.35">
      <c r="A2074" s="4">
        <v>723500</v>
      </c>
      <c r="B2074" s="5" t="s">
        <v>2205</v>
      </c>
    </row>
    <row r="2075" spans="1:2" x14ac:dyDescent="0.35">
      <c r="A2075" s="4">
        <v>723600</v>
      </c>
      <c r="B2075" s="5" t="s">
        <v>2206</v>
      </c>
    </row>
    <row r="2076" spans="1:2" x14ac:dyDescent="0.35">
      <c r="A2076" s="4">
        <v>723700</v>
      </c>
      <c r="B2076" s="5" t="s">
        <v>2207</v>
      </c>
    </row>
    <row r="2077" spans="1:2" x14ac:dyDescent="0.35">
      <c r="A2077" s="4">
        <v>723900</v>
      </c>
      <c r="B2077" s="5" t="s">
        <v>2208</v>
      </c>
    </row>
    <row r="2078" spans="1:2" x14ac:dyDescent="0.35">
      <c r="A2078" s="4">
        <v>724200</v>
      </c>
      <c r="B2078" s="5" t="s">
        <v>2209</v>
      </c>
    </row>
    <row r="2079" spans="1:2" x14ac:dyDescent="0.35">
      <c r="A2079" s="4">
        <v>724300</v>
      </c>
      <c r="B2079" s="5" t="s">
        <v>2210</v>
      </c>
    </row>
    <row r="2080" spans="1:2" x14ac:dyDescent="0.35">
      <c r="A2080" s="4">
        <v>724400</v>
      </c>
      <c r="B2080" s="5" t="s">
        <v>2211</v>
      </c>
    </row>
    <row r="2081" spans="1:2" x14ac:dyDescent="0.35">
      <c r="A2081" s="4">
        <v>724500</v>
      </c>
      <c r="B2081" s="5" t="s">
        <v>2212</v>
      </c>
    </row>
    <row r="2082" spans="1:2" x14ac:dyDescent="0.35">
      <c r="A2082" s="4">
        <v>724900</v>
      </c>
      <c r="B2082" s="5" t="s">
        <v>2213</v>
      </c>
    </row>
    <row r="2083" spans="1:2" x14ac:dyDescent="0.35">
      <c r="A2083" s="4">
        <v>725000</v>
      </c>
      <c r="B2083" s="5" t="s">
        <v>2214</v>
      </c>
    </row>
    <row r="2084" spans="1:2" x14ac:dyDescent="0.35">
      <c r="A2084" s="4">
        <v>725100</v>
      </c>
      <c r="B2084" s="5" t="s">
        <v>2215</v>
      </c>
    </row>
    <row r="2085" spans="1:2" x14ac:dyDescent="0.35">
      <c r="A2085" s="4">
        <v>725200</v>
      </c>
      <c r="B2085" s="5" t="s">
        <v>2216</v>
      </c>
    </row>
    <row r="2086" spans="1:2" x14ac:dyDescent="0.35">
      <c r="A2086" s="4">
        <v>725300</v>
      </c>
      <c r="B2086" s="5" t="s">
        <v>2217</v>
      </c>
    </row>
    <row r="2087" spans="1:2" x14ac:dyDescent="0.35">
      <c r="A2087" s="4">
        <v>725400</v>
      </c>
      <c r="B2087" s="5" t="s">
        <v>2218</v>
      </c>
    </row>
    <row r="2088" spans="1:2" x14ac:dyDescent="0.35">
      <c r="A2088" s="4">
        <v>725500</v>
      </c>
      <c r="B2088" s="5" t="s">
        <v>2219</v>
      </c>
    </row>
    <row r="2089" spans="1:2" x14ac:dyDescent="0.35">
      <c r="A2089" s="4">
        <v>725900</v>
      </c>
      <c r="B2089" s="5" t="s">
        <v>2220</v>
      </c>
    </row>
    <row r="2090" spans="1:2" x14ac:dyDescent="0.35">
      <c r="A2090" s="4">
        <v>726200</v>
      </c>
      <c r="B2090" s="5" t="s">
        <v>2221</v>
      </c>
    </row>
    <row r="2091" spans="1:2" x14ac:dyDescent="0.35">
      <c r="A2091" s="4">
        <v>726300</v>
      </c>
      <c r="B2091" s="5" t="s">
        <v>2222</v>
      </c>
    </row>
    <row r="2092" spans="1:2" x14ac:dyDescent="0.35">
      <c r="A2092" s="4">
        <v>726400</v>
      </c>
      <c r="B2092" s="5" t="s">
        <v>2223</v>
      </c>
    </row>
    <row r="2093" spans="1:2" x14ac:dyDescent="0.35">
      <c r="A2093" s="4">
        <v>726500</v>
      </c>
      <c r="B2093" s="5" t="s">
        <v>2224</v>
      </c>
    </row>
    <row r="2094" spans="1:2" x14ac:dyDescent="0.35">
      <c r="A2094" s="4">
        <v>726600</v>
      </c>
      <c r="B2094" s="5" t="s">
        <v>2225</v>
      </c>
    </row>
    <row r="2095" spans="1:2" x14ac:dyDescent="0.35">
      <c r="A2095" s="4">
        <v>726900</v>
      </c>
      <c r="B2095" s="5" t="s">
        <v>2226</v>
      </c>
    </row>
    <row r="2096" spans="1:2" x14ac:dyDescent="0.35">
      <c r="A2096" s="4">
        <v>727100</v>
      </c>
      <c r="B2096" s="5" t="s">
        <v>2227</v>
      </c>
    </row>
    <row r="2097" spans="1:2" x14ac:dyDescent="0.35">
      <c r="A2097" s="4">
        <v>727200</v>
      </c>
      <c r="B2097" s="5" t="s">
        <v>2228</v>
      </c>
    </row>
    <row r="2098" spans="1:2" x14ac:dyDescent="0.35">
      <c r="A2098" s="4">
        <v>727300</v>
      </c>
      <c r="B2098" s="5" t="s">
        <v>2229</v>
      </c>
    </row>
    <row r="2099" spans="1:2" x14ac:dyDescent="0.35">
      <c r="A2099" s="4">
        <v>727400</v>
      </c>
      <c r="B2099" s="5" t="s">
        <v>2230</v>
      </c>
    </row>
    <row r="2100" spans="1:2" x14ac:dyDescent="0.35">
      <c r="A2100" s="4">
        <v>727900</v>
      </c>
      <c r="B2100" s="5" t="s">
        <v>2231</v>
      </c>
    </row>
    <row r="2101" spans="1:2" x14ac:dyDescent="0.35">
      <c r="A2101" s="4">
        <v>728200</v>
      </c>
      <c r="B2101" s="5" t="s">
        <v>2232</v>
      </c>
    </row>
    <row r="2102" spans="1:2" x14ac:dyDescent="0.35">
      <c r="A2102" s="4">
        <v>728300</v>
      </c>
      <c r="B2102" s="5" t="s">
        <v>2233</v>
      </c>
    </row>
    <row r="2103" spans="1:2" x14ac:dyDescent="0.35">
      <c r="A2103" s="4">
        <v>728400</v>
      </c>
      <c r="B2103" s="5" t="s">
        <v>2234</v>
      </c>
    </row>
    <row r="2104" spans="1:2" x14ac:dyDescent="0.35">
      <c r="A2104" s="4">
        <v>728500</v>
      </c>
      <c r="B2104" s="5" t="s">
        <v>2235</v>
      </c>
    </row>
    <row r="2105" spans="1:2" x14ac:dyDescent="0.35">
      <c r="A2105" s="4">
        <v>728600</v>
      </c>
      <c r="B2105" s="5" t="s">
        <v>2236</v>
      </c>
    </row>
    <row r="2106" spans="1:2" x14ac:dyDescent="0.35">
      <c r="A2106" s="4">
        <v>728900</v>
      </c>
      <c r="B2106" s="5" t="s">
        <v>2237</v>
      </c>
    </row>
    <row r="2107" spans="1:2" x14ac:dyDescent="0.35">
      <c r="A2107" s="4">
        <v>729200</v>
      </c>
      <c r="B2107" s="5" t="s">
        <v>2238</v>
      </c>
    </row>
    <row r="2108" spans="1:2" x14ac:dyDescent="0.35">
      <c r="A2108" s="4">
        <v>729400</v>
      </c>
      <c r="B2108" s="5" t="s">
        <v>2239</v>
      </c>
    </row>
    <row r="2109" spans="1:2" x14ac:dyDescent="0.35">
      <c r="A2109" s="4">
        <v>729900</v>
      </c>
      <c r="B2109" s="5" t="s">
        <v>2240</v>
      </c>
    </row>
    <row r="2110" spans="1:2" x14ac:dyDescent="0.35">
      <c r="A2110" s="4">
        <v>731200</v>
      </c>
      <c r="B2110" s="5" t="s">
        <v>2241</v>
      </c>
    </row>
    <row r="2111" spans="1:2" x14ac:dyDescent="0.35">
      <c r="A2111" s="4">
        <v>731400</v>
      </c>
      <c r="B2111" s="5" t="s">
        <v>2242</v>
      </c>
    </row>
    <row r="2112" spans="1:2" x14ac:dyDescent="0.35">
      <c r="A2112" s="4">
        <v>731900</v>
      </c>
      <c r="B2112" s="5" t="s">
        <v>2243</v>
      </c>
    </row>
    <row r="2113" spans="1:2" x14ac:dyDescent="0.35">
      <c r="A2113" s="4">
        <v>732200</v>
      </c>
      <c r="B2113" s="5" t="s">
        <v>2244</v>
      </c>
    </row>
    <row r="2114" spans="1:2" x14ac:dyDescent="0.35">
      <c r="A2114" s="4">
        <v>732300</v>
      </c>
      <c r="B2114" s="5" t="s">
        <v>2245</v>
      </c>
    </row>
    <row r="2115" spans="1:2" x14ac:dyDescent="0.35">
      <c r="A2115" s="4">
        <v>732400</v>
      </c>
      <c r="B2115" s="5" t="s">
        <v>2246</v>
      </c>
    </row>
    <row r="2116" spans="1:2" x14ac:dyDescent="0.35">
      <c r="A2116" s="4">
        <v>732500</v>
      </c>
      <c r="B2116" s="5" t="s">
        <v>2247</v>
      </c>
    </row>
    <row r="2117" spans="1:2" x14ac:dyDescent="0.35">
      <c r="A2117" s="4">
        <v>732600</v>
      </c>
      <c r="B2117" s="5" t="s">
        <v>2248</v>
      </c>
    </row>
    <row r="2118" spans="1:2" x14ac:dyDescent="0.35">
      <c r="A2118" s="4">
        <v>732700</v>
      </c>
      <c r="B2118" s="5" t="s">
        <v>2249</v>
      </c>
    </row>
    <row r="2119" spans="1:2" x14ac:dyDescent="0.35">
      <c r="A2119" s="4">
        <v>732900</v>
      </c>
      <c r="B2119" s="5" t="s">
        <v>2250</v>
      </c>
    </row>
    <row r="2120" spans="1:2" x14ac:dyDescent="0.35">
      <c r="A2120" s="4">
        <v>733200</v>
      </c>
      <c r="B2120" s="5" t="s">
        <v>2251</v>
      </c>
    </row>
    <row r="2121" spans="1:2" x14ac:dyDescent="0.35">
      <c r="A2121" s="4">
        <v>733300</v>
      </c>
      <c r="B2121" s="5" t="s">
        <v>2252</v>
      </c>
    </row>
    <row r="2122" spans="1:2" x14ac:dyDescent="0.35">
      <c r="A2122" s="4">
        <v>733400</v>
      </c>
      <c r="B2122" s="5" t="s">
        <v>2253</v>
      </c>
    </row>
    <row r="2123" spans="1:2" x14ac:dyDescent="0.35">
      <c r="A2123" s="4">
        <v>733500</v>
      </c>
      <c r="B2123" s="5" t="s">
        <v>2254</v>
      </c>
    </row>
    <row r="2124" spans="1:2" x14ac:dyDescent="0.35">
      <c r="A2124" s="4">
        <v>733900</v>
      </c>
      <c r="B2124" s="5" t="s">
        <v>2255</v>
      </c>
    </row>
    <row r="2125" spans="1:2" x14ac:dyDescent="0.35">
      <c r="A2125" s="4">
        <v>734200</v>
      </c>
      <c r="B2125" s="5" t="s">
        <v>2256</v>
      </c>
    </row>
    <row r="2126" spans="1:2" x14ac:dyDescent="0.35">
      <c r="A2126" s="4">
        <v>734300</v>
      </c>
      <c r="B2126" s="5" t="s">
        <v>2257</v>
      </c>
    </row>
    <row r="2127" spans="1:2" x14ac:dyDescent="0.35">
      <c r="A2127" s="4">
        <v>734400</v>
      </c>
      <c r="B2127" s="5" t="s">
        <v>2258</v>
      </c>
    </row>
    <row r="2128" spans="1:2" x14ac:dyDescent="0.35">
      <c r="A2128" s="4">
        <v>734500</v>
      </c>
      <c r="B2128" s="5" t="s">
        <v>2259</v>
      </c>
    </row>
    <row r="2129" spans="1:2" x14ac:dyDescent="0.35">
      <c r="A2129" s="4">
        <v>734600</v>
      </c>
      <c r="B2129" s="5" t="s">
        <v>2260</v>
      </c>
    </row>
    <row r="2130" spans="1:2" x14ac:dyDescent="0.35">
      <c r="A2130" s="4">
        <v>734900</v>
      </c>
      <c r="B2130" s="5" t="s">
        <v>2261</v>
      </c>
    </row>
    <row r="2131" spans="1:2" x14ac:dyDescent="0.35">
      <c r="A2131" s="4">
        <v>741200</v>
      </c>
      <c r="B2131" s="5" t="s">
        <v>2262</v>
      </c>
    </row>
    <row r="2132" spans="1:2" x14ac:dyDescent="0.35">
      <c r="A2132" s="4">
        <v>741300</v>
      </c>
      <c r="B2132" s="5" t="s">
        <v>2263</v>
      </c>
    </row>
    <row r="2133" spans="1:2" x14ac:dyDescent="0.35">
      <c r="A2133" s="4">
        <v>741400</v>
      </c>
      <c r="B2133" s="5" t="s">
        <v>2264</v>
      </c>
    </row>
    <row r="2134" spans="1:2" x14ac:dyDescent="0.35">
      <c r="A2134" s="4">
        <v>741900</v>
      </c>
      <c r="B2134" s="5" t="s">
        <v>2265</v>
      </c>
    </row>
    <row r="2135" spans="1:2" x14ac:dyDescent="0.35">
      <c r="A2135" s="4">
        <v>742200</v>
      </c>
      <c r="B2135" s="5" t="s">
        <v>2266</v>
      </c>
    </row>
    <row r="2136" spans="1:2" x14ac:dyDescent="0.35">
      <c r="A2136" s="4">
        <v>742300</v>
      </c>
      <c r="B2136" s="5" t="s">
        <v>2267</v>
      </c>
    </row>
    <row r="2137" spans="1:2" x14ac:dyDescent="0.35">
      <c r="A2137" s="4">
        <v>742400</v>
      </c>
      <c r="B2137" s="5" t="s">
        <v>2268</v>
      </c>
    </row>
    <row r="2138" spans="1:2" x14ac:dyDescent="0.35">
      <c r="A2138" s="4">
        <v>742500</v>
      </c>
      <c r="B2138" s="5" t="s">
        <v>2269</v>
      </c>
    </row>
    <row r="2139" spans="1:2" x14ac:dyDescent="0.35">
      <c r="A2139" s="4">
        <v>742600</v>
      </c>
      <c r="B2139" s="5" t="s">
        <v>2270</v>
      </c>
    </row>
    <row r="2140" spans="1:2" x14ac:dyDescent="0.35">
      <c r="A2140" s="4">
        <v>742900</v>
      </c>
      <c r="B2140" s="5" t="s">
        <v>2271</v>
      </c>
    </row>
    <row r="2141" spans="1:2" x14ac:dyDescent="0.35">
      <c r="A2141" s="4">
        <v>743200</v>
      </c>
      <c r="B2141" s="5" t="s">
        <v>2272</v>
      </c>
    </row>
    <row r="2142" spans="1:2" x14ac:dyDescent="0.35">
      <c r="A2142" s="4">
        <v>743300</v>
      </c>
      <c r="B2142" s="5" t="s">
        <v>2273</v>
      </c>
    </row>
    <row r="2143" spans="1:2" x14ac:dyDescent="0.35">
      <c r="A2143" s="4">
        <v>743400</v>
      </c>
      <c r="B2143" s="5" t="s">
        <v>2274</v>
      </c>
    </row>
    <row r="2144" spans="1:2" x14ac:dyDescent="0.35">
      <c r="A2144" s="4">
        <v>743500</v>
      </c>
      <c r="B2144" s="5" t="s">
        <v>2275</v>
      </c>
    </row>
    <row r="2145" spans="1:2" x14ac:dyDescent="0.35">
      <c r="A2145" s="4">
        <v>743900</v>
      </c>
      <c r="B2145" s="5" t="s">
        <v>2276</v>
      </c>
    </row>
    <row r="2146" spans="1:2" x14ac:dyDescent="0.35">
      <c r="A2146" s="4">
        <v>744200</v>
      </c>
      <c r="B2146" s="5" t="s">
        <v>2277</v>
      </c>
    </row>
    <row r="2147" spans="1:2" x14ac:dyDescent="0.35">
      <c r="A2147" s="4">
        <v>744300</v>
      </c>
      <c r="B2147" s="5" t="s">
        <v>2278</v>
      </c>
    </row>
    <row r="2148" spans="1:2" x14ac:dyDescent="0.35">
      <c r="A2148" s="4">
        <v>744400</v>
      </c>
      <c r="B2148" s="5" t="s">
        <v>2279</v>
      </c>
    </row>
    <row r="2149" spans="1:2" x14ac:dyDescent="0.35">
      <c r="A2149" s="4">
        <v>744500</v>
      </c>
      <c r="B2149" s="5" t="s">
        <v>2280</v>
      </c>
    </row>
    <row r="2150" spans="1:2" x14ac:dyDescent="0.35">
      <c r="A2150" s="4">
        <v>744600</v>
      </c>
      <c r="B2150" s="5" t="s">
        <v>2281</v>
      </c>
    </row>
    <row r="2151" spans="1:2" x14ac:dyDescent="0.35">
      <c r="A2151" s="4">
        <v>744900</v>
      </c>
      <c r="B2151" s="5" t="s">
        <v>2282</v>
      </c>
    </row>
    <row r="2152" spans="1:2" x14ac:dyDescent="0.35">
      <c r="A2152" s="4">
        <v>745200</v>
      </c>
      <c r="B2152" s="5" t="s">
        <v>2283</v>
      </c>
    </row>
    <row r="2153" spans="1:2" x14ac:dyDescent="0.35">
      <c r="A2153" s="4">
        <v>745300</v>
      </c>
      <c r="B2153" s="5" t="s">
        <v>2284</v>
      </c>
    </row>
    <row r="2154" spans="1:2" x14ac:dyDescent="0.35">
      <c r="A2154" s="4">
        <v>745400</v>
      </c>
      <c r="B2154" s="5" t="s">
        <v>2285</v>
      </c>
    </row>
    <row r="2155" spans="1:2" x14ac:dyDescent="0.35">
      <c r="A2155" s="4">
        <v>745500</v>
      </c>
      <c r="B2155" s="5" t="s">
        <v>2286</v>
      </c>
    </row>
    <row r="2156" spans="1:2" x14ac:dyDescent="0.35">
      <c r="A2156" s="4">
        <v>745600</v>
      </c>
      <c r="B2156" s="5" t="s">
        <v>2287</v>
      </c>
    </row>
    <row r="2157" spans="1:2" x14ac:dyDescent="0.35">
      <c r="A2157" s="4">
        <v>745700</v>
      </c>
      <c r="B2157" s="5" t="s">
        <v>2288</v>
      </c>
    </row>
    <row r="2158" spans="1:2" x14ac:dyDescent="0.35">
      <c r="A2158" s="4">
        <v>745800</v>
      </c>
      <c r="B2158" s="5" t="s">
        <v>2289</v>
      </c>
    </row>
    <row r="2159" spans="1:2" x14ac:dyDescent="0.35">
      <c r="A2159" s="4">
        <v>745900</v>
      </c>
      <c r="B2159" s="5" t="s">
        <v>2290</v>
      </c>
    </row>
    <row r="2160" spans="1:2" x14ac:dyDescent="0.35">
      <c r="A2160" s="4">
        <v>746000</v>
      </c>
      <c r="B2160" s="5" t="s">
        <v>2291</v>
      </c>
    </row>
    <row r="2161" spans="1:2" x14ac:dyDescent="0.35">
      <c r="A2161" s="4">
        <v>749200</v>
      </c>
      <c r="B2161" s="5" t="s">
        <v>2292</v>
      </c>
    </row>
    <row r="2162" spans="1:2" x14ac:dyDescent="0.35">
      <c r="A2162" s="4">
        <v>749250</v>
      </c>
      <c r="B2162" s="5" t="s">
        <v>2293</v>
      </c>
    </row>
    <row r="2163" spans="1:2" x14ac:dyDescent="0.35">
      <c r="A2163" s="4">
        <v>749300</v>
      </c>
      <c r="B2163" s="5" t="s">
        <v>2294</v>
      </c>
    </row>
    <row r="2164" spans="1:2" x14ac:dyDescent="0.35">
      <c r="A2164" s="4">
        <v>749350</v>
      </c>
      <c r="B2164" s="5" t="s">
        <v>2295</v>
      </c>
    </row>
    <row r="2165" spans="1:2" x14ac:dyDescent="0.35">
      <c r="A2165" s="4">
        <v>749400</v>
      </c>
      <c r="B2165" s="5" t="s">
        <v>2296</v>
      </c>
    </row>
    <row r="2166" spans="1:2" x14ac:dyDescent="0.35">
      <c r="A2166" s="4">
        <v>749450</v>
      </c>
      <c r="B2166" s="5" t="s">
        <v>2297</v>
      </c>
    </row>
    <row r="2167" spans="1:2" x14ac:dyDescent="0.35">
      <c r="A2167" s="4">
        <v>749500</v>
      </c>
      <c r="B2167" s="5" t="s">
        <v>2298</v>
      </c>
    </row>
    <row r="2168" spans="1:2" x14ac:dyDescent="0.35">
      <c r="A2168" s="4">
        <v>749550</v>
      </c>
      <c r="B2168" s="5" t="s">
        <v>2299</v>
      </c>
    </row>
    <row r="2169" spans="1:2" x14ac:dyDescent="0.35">
      <c r="A2169" s="4">
        <v>749600</v>
      </c>
      <c r="B2169" s="5" t="s">
        <v>2300</v>
      </c>
    </row>
    <row r="2170" spans="1:2" x14ac:dyDescent="0.35">
      <c r="A2170" s="4">
        <v>749900</v>
      </c>
      <c r="B2170" s="5" t="s">
        <v>2301</v>
      </c>
    </row>
    <row r="2171" spans="1:2" x14ac:dyDescent="0.35">
      <c r="A2171" s="4">
        <v>751150</v>
      </c>
      <c r="B2171" s="5" t="s">
        <v>2302</v>
      </c>
    </row>
    <row r="2172" spans="1:2" x14ac:dyDescent="0.35">
      <c r="A2172" s="4">
        <v>751200</v>
      </c>
      <c r="B2172" s="5" t="s">
        <v>2303</v>
      </c>
    </row>
    <row r="2173" spans="1:2" x14ac:dyDescent="0.35">
      <c r="A2173" s="4">
        <v>751250</v>
      </c>
      <c r="B2173" s="5" t="s">
        <v>2304</v>
      </c>
    </row>
    <row r="2174" spans="1:2" x14ac:dyDescent="0.35">
      <c r="A2174" s="4">
        <v>751300</v>
      </c>
      <c r="B2174" s="5" t="s">
        <v>2305</v>
      </c>
    </row>
    <row r="2175" spans="1:2" x14ac:dyDescent="0.35">
      <c r="A2175" s="4">
        <v>751350</v>
      </c>
      <c r="B2175" s="5" t="s">
        <v>2306</v>
      </c>
    </row>
    <row r="2176" spans="1:2" x14ac:dyDescent="0.35">
      <c r="A2176" s="4">
        <v>751400</v>
      </c>
      <c r="B2176" s="5" t="s">
        <v>2307</v>
      </c>
    </row>
    <row r="2177" spans="1:2" x14ac:dyDescent="0.35">
      <c r="A2177" s="4">
        <v>751450</v>
      </c>
      <c r="B2177" s="5" t="s">
        <v>2308</v>
      </c>
    </row>
    <row r="2178" spans="1:2" x14ac:dyDescent="0.35">
      <c r="A2178" s="4">
        <v>751500</v>
      </c>
      <c r="B2178" s="5" t="s">
        <v>2309</v>
      </c>
    </row>
    <row r="2179" spans="1:2" x14ac:dyDescent="0.35">
      <c r="A2179" s="4">
        <v>751550</v>
      </c>
      <c r="B2179" s="5" t="s">
        <v>2310</v>
      </c>
    </row>
    <row r="2180" spans="1:2" x14ac:dyDescent="0.35">
      <c r="A2180" s="4">
        <v>751600</v>
      </c>
      <c r="B2180" s="5" t="s">
        <v>2311</v>
      </c>
    </row>
    <row r="2181" spans="1:2" x14ac:dyDescent="0.35">
      <c r="A2181" s="4">
        <v>751650</v>
      </c>
      <c r="B2181" s="5" t="s">
        <v>2312</v>
      </c>
    </row>
    <row r="2182" spans="1:2" x14ac:dyDescent="0.35">
      <c r="A2182" s="4">
        <v>751900</v>
      </c>
      <c r="B2182" s="5" t="s">
        <v>2313</v>
      </c>
    </row>
    <row r="2183" spans="1:2" x14ac:dyDescent="0.35">
      <c r="A2183" s="4">
        <v>752150</v>
      </c>
      <c r="B2183" s="5" t="s">
        <v>2314</v>
      </c>
    </row>
    <row r="2184" spans="1:2" x14ac:dyDescent="0.35">
      <c r="A2184" s="4">
        <v>752200</v>
      </c>
      <c r="B2184" s="5" t="s">
        <v>2315</v>
      </c>
    </row>
    <row r="2185" spans="1:2" x14ac:dyDescent="0.35">
      <c r="A2185" s="4">
        <v>752250</v>
      </c>
      <c r="B2185" s="5" t="s">
        <v>2316</v>
      </c>
    </row>
    <row r="2186" spans="1:2" x14ac:dyDescent="0.35">
      <c r="A2186" s="4">
        <v>752300</v>
      </c>
      <c r="B2186" s="5" t="s">
        <v>2317</v>
      </c>
    </row>
    <row r="2187" spans="1:2" x14ac:dyDescent="0.35">
      <c r="A2187" s="4">
        <v>752350</v>
      </c>
      <c r="B2187" s="5" t="s">
        <v>2318</v>
      </c>
    </row>
    <row r="2188" spans="1:2" x14ac:dyDescent="0.35">
      <c r="A2188" s="4">
        <v>752900</v>
      </c>
      <c r="B2188" s="5" t="s">
        <v>2319</v>
      </c>
    </row>
    <row r="2189" spans="1:2" x14ac:dyDescent="0.35">
      <c r="A2189" s="4">
        <v>753200</v>
      </c>
      <c r="B2189" s="5" t="s">
        <v>2320</v>
      </c>
    </row>
    <row r="2190" spans="1:2" x14ac:dyDescent="0.35">
      <c r="A2190" s="4">
        <v>753300</v>
      </c>
      <c r="B2190" s="5" t="s">
        <v>2321</v>
      </c>
    </row>
    <row r="2191" spans="1:2" x14ac:dyDescent="0.35">
      <c r="A2191" s="4">
        <v>753400</v>
      </c>
      <c r="B2191" s="5" t="s">
        <v>2322</v>
      </c>
    </row>
    <row r="2192" spans="1:2" x14ac:dyDescent="0.35">
      <c r="A2192" s="4">
        <v>753500</v>
      </c>
      <c r="B2192" s="5" t="s">
        <v>2323</v>
      </c>
    </row>
    <row r="2193" spans="1:2" x14ac:dyDescent="0.35">
      <c r="A2193" s="4">
        <v>753600</v>
      </c>
      <c r="B2193" s="5" t="s">
        <v>2324</v>
      </c>
    </row>
    <row r="2194" spans="1:2" x14ac:dyDescent="0.35">
      <c r="A2194" s="4">
        <v>753900</v>
      </c>
      <c r="B2194" s="5" t="s">
        <v>2325</v>
      </c>
    </row>
    <row r="2195" spans="1:2" x14ac:dyDescent="0.35">
      <c r="A2195" s="4">
        <v>754150</v>
      </c>
      <c r="B2195" s="5" t="s">
        <v>2326</v>
      </c>
    </row>
    <row r="2196" spans="1:2" x14ac:dyDescent="0.35">
      <c r="A2196" s="4">
        <v>754200</v>
      </c>
      <c r="B2196" s="5" t="s">
        <v>2327</v>
      </c>
    </row>
    <row r="2197" spans="1:2" x14ac:dyDescent="0.35">
      <c r="A2197" s="4">
        <v>754250</v>
      </c>
      <c r="B2197" s="5" t="s">
        <v>2328</v>
      </c>
    </row>
    <row r="2198" spans="1:2" x14ac:dyDescent="0.35">
      <c r="A2198" s="4">
        <v>754300</v>
      </c>
      <c r="B2198" s="5" t="s">
        <v>2329</v>
      </c>
    </row>
    <row r="2199" spans="1:2" x14ac:dyDescent="0.35">
      <c r="A2199" s="4">
        <v>754330</v>
      </c>
      <c r="B2199" s="5" t="s">
        <v>2330</v>
      </c>
    </row>
    <row r="2200" spans="1:2" x14ac:dyDescent="0.35">
      <c r="A2200" s="4">
        <v>754340</v>
      </c>
      <c r="B2200" s="5" t="s">
        <v>2331</v>
      </c>
    </row>
    <row r="2201" spans="1:2" x14ac:dyDescent="0.35">
      <c r="A2201" s="4">
        <v>754350</v>
      </c>
      <c r="B2201" s="5" t="s">
        <v>2332</v>
      </c>
    </row>
    <row r="2202" spans="1:2" x14ac:dyDescent="0.35">
      <c r="A2202" s="4">
        <v>754400</v>
      </c>
      <c r="B2202" s="5" t="s">
        <v>2333</v>
      </c>
    </row>
    <row r="2203" spans="1:2" x14ac:dyDescent="0.35">
      <c r="A2203" s="4">
        <v>754450</v>
      </c>
      <c r="B2203" s="5" t="s">
        <v>2334</v>
      </c>
    </row>
    <row r="2204" spans="1:2" x14ac:dyDescent="0.35">
      <c r="A2204" s="4">
        <v>754500</v>
      </c>
      <c r="B2204" s="5" t="s">
        <v>2335</v>
      </c>
    </row>
    <row r="2205" spans="1:2" x14ac:dyDescent="0.35">
      <c r="A2205" s="4">
        <v>754550</v>
      </c>
      <c r="B2205" s="5" t="s">
        <v>2336</v>
      </c>
    </row>
    <row r="2206" spans="1:2" x14ac:dyDescent="0.35">
      <c r="A2206" s="4">
        <v>754600</v>
      </c>
      <c r="B2206" s="5" t="s">
        <v>2337</v>
      </c>
    </row>
    <row r="2207" spans="1:2" x14ac:dyDescent="0.35">
      <c r="A2207" s="4">
        <v>754650</v>
      </c>
      <c r="B2207" s="5" t="s">
        <v>2338</v>
      </c>
    </row>
    <row r="2208" spans="1:2" x14ac:dyDescent="0.35">
      <c r="A2208" s="4">
        <v>754700</v>
      </c>
      <c r="B2208" s="5" t="s">
        <v>2339</v>
      </c>
    </row>
    <row r="2209" spans="1:2" x14ac:dyDescent="0.35">
      <c r="A2209" s="4">
        <v>754750</v>
      </c>
      <c r="B2209" s="5" t="s">
        <v>2340</v>
      </c>
    </row>
    <row r="2210" spans="1:2" x14ac:dyDescent="0.35">
      <c r="A2210" s="4">
        <v>754800</v>
      </c>
      <c r="B2210" s="5" t="s">
        <v>2341</v>
      </c>
    </row>
    <row r="2211" spans="1:2" x14ac:dyDescent="0.35">
      <c r="A2211" s="4">
        <v>754900</v>
      </c>
      <c r="B2211" s="5" t="s">
        <v>2342</v>
      </c>
    </row>
    <row r="2212" spans="1:2" x14ac:dyDescent="0.35">
      <c r="A2212" s="4">
        <v>755200</v>
      </c>
      <c r="B2212" s="5" t="s">
        <v>2343</v>
      </c>
    </row>
    <row r="2213" spans="1:2" x14ac:dyDescent="0.35">
      <c r="A2213" s="4">
        <v>755300</v>
      </c>
      <c r="B2213" s="5" t="s">
        <v>2344</v>
      </c>
    </row>
    <row r="2214" spans="1:2" x14ac:dyDescent="0.35">
      <c r="A2214" s="4">
        <v>755400</v>
      </c>
      <c r="B2214" s="5" t="s">
        <v>2345</v>
      </c>
    </row>
    <row r="2215" spans="1:2" x14ac:dyDescent="0.35">
      <c r="A2215" s="4">
        <v>755500</v>
      </c>
      <c r="B2215" s="5" t="s">
        <v>2346</v>
      </c>
    </row>
    <row r="2216" spans="1:2" x14ac:dyDescent="0.35">
      <c r="A2216" s="4">
        <v>755900</v>
      </c>
      <c r="B2216" s="5" t="s">
        <v>2347</v>
      </c>
    </row>
    <row r="2217" spans="1:2" x14ac:dyDescent="0.35">
      <c r="A2217" s="4">
        <v>756150</v>
      </c>
      <c r="B2217" s="5" t="s">
        <v>2348</v>
      </c>
    </row>
    <row r="2218" spans="1:2" x14ac:dyDescent="0.35">
      <c r="A2218" s="4">
        <v>756200</v>
      </c>
      <c r="B2218" s="5" t="s">
        <v>2349</v>
      </c>
    </row>
    <row r="2219" spans="1:2" x14ac:dyDescent="0.35">
      <c r="A2219" s="4">
        <v>756250</v>
      </c>
      <c r="B2219" s="5" t="s">
        <v>2350</v>
      </c>
    </row>
    <row r="2220" spans="1:2" x14ac:dyDescent="0.35">
      <c r="A2220" s="4">
        <v>756300</v>
      </c>
      <c r="B2220" s="5" t="s">
        <v>2351</v>
      </c>
    </row>
    <row r="2221" spans="1:2" x14ac:dyDescent="0.35">
      <c r="A2221" s="4">
        <v>756350</v>
      </c>
      <c r="B2221" s="5" t="s">
        <v>2352</v>
      </c>
    </row>
    <row r="2222" spans="1:2" x14ac:dyDescent="0.35">
      <c r="A2222" s="4">
        <v>756400</v>
      </c>
      <c r="B2222" s="5" t="s">
        <v>2353</v>
      </c>
    </row>
    <row r="2223" spans="1:2" x14ac:dyDescent="0.35">
      <c r="A2223" s="4">
        <v>756450</v>
      </c>
      <c r="B2223" s="5" t="s">
        <v>2354</v>
      </c>
    </row>
    <row r="2224" spans="1:2" x14ac:dyDescent="0.35">
      <c r="A2224" s="4">
        <v>756500</v>
      </c>
      <c r="B2224" s="5" t="s">
        <v>2355</v>
      </c>
    </row>
    <row r="2225" spans="1:2" x14ac:dyDescent="0.35">
      <c r="A2225" s="4">
        <v>756550</v>
      </c>
      <c r="B2225" s="5" t="s">
        <v>2356</v>
      </c>
    </row>
    <row r="2226" spans="1:2" x14ac:dyDescent="0.35">
      <c r="A2226" s="4">
        <v>756600</v>
      </c>
      <c r="B2226" s="5" t="s">
        <v>2357</v>
      </c>
    </row>
    <row r="2227" spans="1:2" x14ac:dyDescent="0.35">
      <c r="A2227" s="4">
        <v>756650</v>
      </c>
      <c r="B2227" s="5" t="s">
        <v>2358</v>
      </c>
    </row>
    <row r="2228" spans="1:2" x14ac:dyDescent="0.35">
      <c r="A2228" s="4">
        <v>756700</v>
      </c>
      <c r="B2228" s="5" t="s">
        <v>2359</v>
      </c>
    </row>
    <row r="2229" spans="1:2" x14ac:dyDescent="0.35">
      <c r="A2229" s="4">
        <v>756750</v>
      </c>
      <c r="B2229" s="5" t="s">
        <v>2360</v>
      </c>
    </row>
    <row r="2230" spans="1:2" x14ac:dyDescent="0.35">
      <c r="A2230" s="4">
        <v>756900</v>
      </c>
      <c r="B2230" s="5" t="s">
        <v>2361</v>
      </c>
    </row>
    <row r="2231" spans="1:2" x14ac:dyDescent="0.35">
      <c r="A2231" s="4">
        <v>759150</v>
      </c>
      <c r="B2231" s="5" t="s">
        <v>2362</v>
      </c>
    </row>
    <row r="2232" spans="1:2" x14ac:dyDescent="0.35">
      <c r="A2232" s="4">
        <v>759200</v>
      </c>
      <c r="B2232" s="5" t="s">
        <v>2363</v>
      </c>
    </row>
    <row r="2233" spans="1:2" x14ac:dyDescent="0.35">
      <c r="A2233" s="4">
        <v>759250</v>
      </c>
      <c r="B2233" s="5" t="s">
        <v>2364</v>
      </c>
    </row>
    <row r="2234" spans="1:2" x14ac:dyDescent="0.35">
      <c r="A2234" s="4">
        <v>759300</v>
      </c>
      <c r="B2234" s="5" t="s">
        <v>2365</v>
      </c>
    </row>
    <row r="2235" spans="1:2" x14ac:dyDescent="0.35">
      <c r="A2235" s="4">
        <v>759350</v>
      </c>
      <c r="B2235" s="5" t="s">
        <v>2366</v>
      </c>
    </row>
    <row r="2236" spans="1:2" x14ac:dyDescent="0.35">
      <c r="A2236" s="4">
        <v>759400</v>
      </c>
      <c r="B2236" s="5" t="s">
        <v>2367</v>
      </c>
    </row>
    <row r="2237" spans="1:2" x14ac:dyDescent="0.35">
      <c r="A2237" s="4">
        <v>759450</v>
      </c>
      <c r="B2237" s="5" t="s">
        <v>2368</v>
      </c>
    </row>
    <row r="2238" spans="1:2" x14ac:dyDescent="0.35">
      <c r="A2238" s="4">
        <v>759500</v>
      </c>
      <c r="B2238" s="5" t="s">
        <v>2369</v>
      </c>
    </row>
    <row r="2239" spans="1:2" x14ac:dyDescent="0.35">
      <c r="A2239" s="4">
        <v>759550</v>
      </c>
      <c r="B2239" s="5" t="s">
        <v>2370</v>
      </c>
    </row>
    <row r="2240" spans="1:2" x14ac:dyDescent="0.35">
      <c r="A2240" s="4">
        <v>759600</v>
      </c>
      <c r="B2240" s="5" t="s">
        <v>2371</v>
      </c>
    </row>
    <row r="2241" spans="1:2" x14ac:dyDescent="0.35">
      <c r="A2241" s="4">
        <v>759610</v>
      </c>
      <c r="B2241" s="5" t="s">
        <v>2372</v>
      </c>
    </row>
    <row r="2242" spans="1:2" x14ac:dyDescent="0.35">
      <c r="A2242" s="4">
        <v>759900</v>
      </c>
      <c r="B2242" s="5" t="s">
        <v>2373</v>
      </c>
    </row>
    <row r="2243" spans="1:2" x14ac:dyDescent="0.35">
      <c r="A2243" s="4">
        <v>761200</v>
      </c>
      <c r="B2243" s="5" t="s">
        <v>2374</v>
      </c>
    </row>
    <row r="2244" spans="1:2" x14ac:dyDescent="0.35">
      <c r="A2244" s="4">
        <v>761250</v>
      </c>
      <c r="B2244" s="5" t="s">
        <v>2375</v>
      </c>
    </row>
    <row r="2245" spans="1:2" x14ac:dyDescent="0.35">
      <c r="A2245" s="4">
        <v>761300</v>
      </c>
      <c r="B2245" s="5" t="s">
        <v>2376</v>
      </c>
    </row>
    <row r="2246" spans="1:2" x14ac:dyDescent="0.35">
      <c r="A2246" s="4">
        <v>761350</v>
      </c>
      <c r="B2246" s="5" t="s">
        <v>2377</v>
      </c>
    </row>
    <row r="2247" spans="1:2" x14ac:dyDescent="0.35">
      <c r="A2247" s="4">
        <v>761400</v>
      </c>
      <c r="B2247" s="5" t="s">
        <v>2378</v>
      </c>
    </row>
    <row r="2248" spans="1:2" x14ac:dyDescent="0.35">
      <c r="A2248" s="4">
        <v>761450</v>
      </c>
      <c r="B2248" s="5" t="s">
        <v>2379</v>
      </c>
    </row>
    <row r="2249" spans="1:2" x14ac:dyDescent="0.35">
      <c r="A2249" s="4">
        <v>761500</v>
      </c>
      <c r="B2249" s="5" t="s">
        <v>2380</v>
      </c>
    </row>
    <row r="2250" spans="1:2" x14ac:dyDescent="0.35">
      <c r="A2250" s="4">
        <v>761550</v>
      </c>
      <c r="B2250" s="5" t="s">
        <v>2381</v>
      </c>
    </row>
    <row r="2251" spans="1:2" x14ac:dyDescent="0.35">
      <c r="A2251" s="4">
        <v>761900</v>
      </c>
      <c r="B2251" s="5" t="s">
        <v>2382</v>
      </c>
    </row>
    <row r="2252" spans="1:2" x14ac:dyDescent="0.35">
      <c r="A2252" s="4">
        <v>762100</v>
      </c>
      <c r="B2252" s="5" t="s">
        <v>2383</v>
      </c>
    </row>
    <row r="2253" spans="1:2" x14ac:dyDescent="0.35">
      <c r="A2253" s="4">
        <v>771200</v>
      </c>
      <c r="B2253" s="5" t="s">
        <v>2384</v>
      </c>
    </row>
    <row r="2254" spans="1:2" x14ac:dyDescent="0.35">
      <c r="A2254" s="4">
        <v>771300</v>
      </c>
      <c r="B2254" s="5" t="s">
        <v>2385</v>
      </c>
    </row>
    <row r="2255" spans="1:2" x14ac:dyDescent="0.35">
      <c r="A2255" s="4">
        <v>771400</v>
      </c>
      <c r="B2255" s="5" t="s">
        <v>2386</v>
      </c>
    </row>
    <row r="2256" spans="1:2" x14ac:dyDescent="0.35">
      <c r="A2256" s="4">
        <v>771500</v>
      </c>
      <c r="B2256" s="5" t="s">
        <v>2387</v>
      </c>
    </row>
    <row r="2257" spans="1:2" x14ac:dyDescent="0.35">
      <c r="A2257" s="4">
        <v>771600</v>
      </c>
      <c r="B2257" s="5" t="s">
        <v>2388</v>
      </c>
    </row>
    <row r="2258" spans="1:2" x14ac:dyDescent="0.35">
      <c r="A2258" s="4">
        <v>771700</v>
      </c>
      <c r="B2258" s="5" t="s">
        <v>2389</v>
      </c>
    </row>
    <row r="2259" spans="1:2" x14ac:dyDescent="0.35">
      <c r="A2259" s="4">
        <v>771900</v>
      </c>
      <c r="B2259" s="5" t="s">
        <v>2390</v>
      </c>
    </row>
    <row r="2260" spans="1:2" x14ac:dyDescent="0.35">
      <c r="A2260" s="4">
        <v>772200</v>
      </c>
      <c r="B2260" s="5" t="s">
        <v>2391</v>
      </c>
    </row>
    <row r="2261" spans="1:2" x14ac:dyDescent="0.35">
      <c r="A2261" s="4">
        <v>772300</v>
      </c>
      <c r="B2261" s="5" t="s">
        <v>2392</v>
      </c>
    </row>
    <row r="2262" spans="1:2" x14ac:dyDescent="0.35">
      <c r="A2262" s="4">
        <v>772400</v>
      </c>
      <c r="B2262" s="5" t="s">
        <v>2393</v>
      </c>
    </row>
    <row r="2263" spans="1:2" x14ac:dyDescent="0.35">
      <c r="A2263" s="4">
        <v>772500</v>
      </c>
      <c r="B2263" s="5" t="s">
        <v>2394</v>
      </c>
    </row>
    <row r="2264" spans="1:2" x14ac:dyDescent="0.35">
      <c r="A2264" s="4">
        <v>772900</v>
      </c>
      <c r="B2264" s="5" t="s">
        <v>2395</v>
      </c>
    </row>
    <row r="2265" spans="1:2" x14ac:dyDescent="0.35">
      <c r="A2265" s="4">
        <v>773100</v>
      </c>
      <c r="B2265" s="5" t="s">
        <v>2396</v>
      </c>
    </row>
    <row r="2266" spans="1:2" x14ac:dyDescent="0.35">
      <c r="A2266" s="4">
        <v>773200</v>
      </c>
      <c r="B2266" s="5" t="s">
        <v>2397</v>
      </c>
    </row>
    <row r="2267" spans="1:2" x14ac:dyDescent="0.35">
      <c r="A2267" s="4">
        <v>773300</v>
      </c>
      <c r="B2267" s="5" t="s">
        <v>2398</v>
      </c>
    </row>
    <row r="2268" spans="1:2" x14ac:dyDescent="0.35">
      <c r="A2268" s="4">
        <v>773900</v>
      </c>
      <c r="B2268" s="5" t="s">
        <v>2399</v>
      </c>
    </row>
    <row r="2269" spans="1:2" x14ac:dyDescent="0.35">
      <c r="A2269" s="4">
        <v>774100</v>
      </c>
      <c r="B2269" s="5" t="s">
        <v>2400</v>
      </c>
    </row>
    <row r="2270" spans="1:2" x14ac:dyDescent="0.35">
      <c r="A2270" s="4">
        <v>774150</v>
      </c>
      <c r="B2270" s="5" t="s">
        <v>2401</v>
      </c>
    </row>
    <row r="2271" spans="1:2" x14ac:dyDescent="0.35">
      <c r="A2271" s="4">
        <v>774200</v>
      </c>
      <c r="B2271" s="5" t="s">
        <v>2402</v>
      </c>
    </row>
    <row r="2272" spans="1:2" x14ac:dyDescent="0.35">
      <c r="A2272" s="4">
        <v>774250</v>
      </c>
      <c r="B2272" s="5" t="s">
        <v>2403</v>
      </c>
    </row>
    <row r="2273" spans="1:2" x14ac:dyDescent="0.35">
      <c r="A2273" s="4">
        <v>774300</v>
      </c>
      <c r="B2273" s="5" t="s">
        <v>2404</v>
      </c>
    </row>
    <row r="2274" spans="1:2" x14ac:dyDescent="0.35">
      <c r="A2274" s="4">
        <v>774350</v>
      </c>
      <c r="B2274" s="5" t="s">
        <v>2405</v>
      </c>
    </row>
    <row r="2275" spans="1:2" x14ac:dyDescent="0.35">
      <c r="A2275" s="4">
        <v>774400</v>
      </c>
      <c r="B2275" s="5" t="s">
        <v>2406</v>
      </c>
    </row>
    <row r="2276" spans="1:2" x14ac:dyDescent="0.35">
      <c r="A2276" s="4">
        <v>774450</v>
      </c>
      <c r="B2276" s="5" t="s">
        <v>2407</v>
      </c>
    </row>
    <row r="2277" spans="1:2" x14ac:dyDescent="0.35">
      <c r="A2277" s="4">
        <v>774500</v>
      </c>
      <c r="B2277" s="5" t="s">
        <v>2408</v>
      </c>
    </row>
    <row r="2278" spans="1:2" x14ac:dyDescent="0.35">
      <c r="A2278" s="4">
        <v>774550</v>
      </c>
      <c r="B2278" s="5" t="s">
        <v>2409</v>
      </c>
    </row>
    <row r="2279" spans="1:2" x14ac:dyDescent="0.35">
      <c r="A2279" s="4">
        <v>774600</v>
      </c>
      <c r="B2279" s="5" t="s">
        <v>2410</v>
      </c>
    </row>
    <row r="2280" spans="1:2" x14ac:dyDescent="0.35">
      <c r="A2280" s="4">
        <v>774900</v>
      </c>
      <c r="B2280" s="5" t="s">
        <v>2411</v>
      </c>
    </row>
    <row r="2281" spans="1:2" x14ac:dyDescent="0.35">
      <c r="A2281" s="4">
        <v>775100</v>
      </c>
      <c r="B2281" s="5" t="s">
        <v>2412</v>
      </c>
    </row>
    <row r="2282" spans="1:2" x14ac:dyDescent="0.35">
      <c r="A2282" s="4">
        <v>775200</v>
      </c>
      <c r="B2282" s="5" t="s">
        <v>2413</v>
      </c>
    </row>
    <row r="2283" spans="1:2" x14ac:dyDescent="0.35">
      <c r="A2283" s="4">
        <v>775300</v>
      </c>
      <c r="B2283" s="5" t="s">
        <v>2414</v>
      </c>
    </row>
    <row r="2284" spans="1:2" x14ac:dyDescent="0.35">
      <c r="A2284" s="4">
        <v>775400</v>
      </c>
      <c r="B2284" s="5" t="s">
        <v>2415</v>
      </c>
    </row>
    <row r="2285" spans="1:2" x14ac:dyDescent="0.35">
      <c r="A2285" s="4">
        <v>775500</v>
      </c>
      <c r="B2285" s="5" t="s">
        <v>2416</v>
      </c>
    </row>
    <row r="2286" spans="1:2" x14ac:dyDescent="0.35">
      <c r="A2286" s="4">
        <v>775900</v>
      </c>
      <c r="B2286" s="5" t="s">
        <v>2417</v>
      </c>
    </row>
    <row r="2287" spans="1:2" x14ac:dyDescent="0.35">
      <c r="A2287" s="4">
        <v>776100</v>
      </c>
      <c r="B2287" s="5" t="s">
        <v>2418</v>
      </c>
    </row>
    <row r="2288" spans="1:2" x14ac:dyDescent="0.35">
      <c r="A2288" s="4">
        <v>776110</v>
      </c>
      <c r="B2288" s="5" t="s">
        <v>2419</v>
      </c>
    </row>
    <row r="2289" spans="1:2" x14ac:dyDescent="0.35">
      <c r="A2289" s="4">
        <v>776120</v>
      </c>
      <c r="B2289" s="5" t="s">
        <v>2420</v>
      </c>
    </row>
    <row r="2290" spans="1:2" x14ac:dyDescent="0.35">
      <c r="A2290" s="4">
        <v>776130</v>
      </c>
      <c r="B2290" s="5" t="s">
        <v>2421</v>
      </c>
    </row>
    <row r="2291" spans="1:2" x14ac:dyDescent="0.35">
      <c r="A2291" s="4">
        <v>776140</v>
      </c>
      <c r="B2291" s="5" t="s">
        <v>2422</v>
      </c>
    </row>
    <row r="2292" spans="1:2" x14ac:dyDescent="0.35">
      <c r="A2292" s="4">
        <v>776150</v>
      </c>
      <c r="B2292" s="5" t="s">
        <v>2423</v>
      </c>
    </row>
    <row r="2293" spans="1:2" x14ac:dyDescent="0.35">
      <c r="A2293" s="4">
        <v>776160</v>
      </c>
      <c r="B2293" s="5" t="s">
        <v>2424</v>
      </c>
    </row>
    <row r="2294" spans="1:2" x14ac:dyDescent="0.35">
      <c r="A2294" s="4">
        <v>776200</v>
      </c>
      <c r="B2294" s="5" t="s">
        <v>2425</v>
      </c>
    </row>
    <row r="2295" spans="1:2" x14ac:dyDescent="0.35">
      <c r="A2295" s="4">
        <v>776250</v>
      </c>
      <c r="B2295" s="5" t="s">
        <v>2426</v>
      </c>
    </row>
    <row r="2296" spans="1:2" x14ac:dyDescent="0.35">
      <c r="A2296" s="4">
        <v>776300</v>
      </c>
      <c r="B2296" s="5" t="s">
        <v>2427</v>
      </c>
    </row>
    <row r="2297" spans="1:2" x14ac:dyDescent="0.35">
      <c r="A2297" s="4">
        <v>776350</v>
      </c>
      <c r="B2297" s="5" t="s">
        <v>2428</v>
      </c>
    </row>
    <row r="2298" spans="1:2" x14ac:dyDescent="0.35">
      <c r="A2298" s="4">
        <v>776400</v>
      </c>
      <c r="B2298" s="5" t="s">
        <v>2429</v>
      </c>
    </row>
    <row r="2299" spans="1:2" x14ac:dyDescent="0.35">
      <c r="A2299" s="4">
        <v>776450</v>
      </c>
      <c r="B2299" s="5" t="s">
        <v>2430</v>
      </c>
    </row>
    <row r="2300" spans="1:2" x14ac:dyDescent="0.35">
      <c r="A2300" s="4">
        <v>776500</v>
      </c>
      <c r="B2300" s="5" t="s">
        <v>2431</v>
      </c>
    </row>
    <row r="2301" spans="1:2" x14ac:dyDescent="0.35">
      <c r="A2301" s="4">
        <v>776550</v>
      </c>
      <c r="B2301" s="5" t="s">
        <v>2432</v>
      </c>
    </row>
    <row r="2302" spans="1:2" x14ac:dyDescent="0.35">
      <c r="A2302" s="4">
        <v>776600</v>
      </c>
      <c r="B2302" s="5" t="s">
        <v>2433</v>
      </c>
    </row>
    <row r="2303" spans="1:2" x14ac:dyDescent="0.35">
      <c r="A2303" s="4">
        <v>776900</v>
      </c>
      <c r="B2303" s="5" t="s">
        <v>2434</v>
      </c>
    </row>
    <row r="2304" spans="1:2" x14ac:dyDescent="0.35">
      <c r="A2304" s="4">
        <v>777200</v>
      </c>
      <c r="B2304" s="5" t="s">
        <v>2435</v>
      </c>
    </row>
    <row r="2305" spans="1:2" x14ac:dyDescent="0.35">
      <c r="A2305" s="4">
        <v>778100</v>
      </c>
      <c r="B2305" s="5" t="s">
        <v>2436</v>
      </c>
    </row>
    <row r="2306" spans="1:2" x14ac:dyDescent="0.35">
      <c r="A2306" s="4">
        <v>778200</v>
      </c>
      <c r="B2306" s="5" t="s">
        <v>2437</v>
      </c>
    </row>
    <row r="2307" spans="1:2" x14ac:dyDescent="0.35">
      <c r="A2307" s="4">
        <v>778300</v>
      </c>
      <c r="B2307" s="5" t="s">
        <v>2438</v>
      </c>
    </row>
    <row r="2308" spans="1:2" x14ac:dyDescent="0.35">
      <c r="A2308" s="4">
        <v>778400</v>
      </c>
      <c r="B2308" s="5" t="s">
        <v>2439</v>
      </c>
    </row>
    <row r="2309" spans="1:2" x14ac:dyDescent="0.35">
      <c r="A2309" s="4">
        <v>778500</v>
      </c>
      <c r="B2309" s="5" t="s">
        <v>2440</v>
      </c>
    </row>
    <row r="2310" spans="1:2" x14ac:dyDescent="0.35">
      <c r="A2310" s="4">
        <v>778600</v>
      </c>
      <c r="B2310" s="5" t="s">
        <v>2441</v>
      </c>
    </row>
    <row r="2311" spans="1:2" x14ac:dyDescent="0.35">
      <c r="A2311" s="4">
        <v>778700</v>
      </c>
      <c r="B2311" s="5" t="s">
        <v>2442</v>
      </c>
    </row>
    <row r="2312" spans="1:2" x14ac:dyDescent="0.35">
      <c r="A2312" s="4">
        <v>778800</v>
      </c>
      <c r="B2312" s="5" t="s">
        <v>2443</v>
      </c>
    </row>
    <row r="2313" spans="1:2" x14ac:dyDescent="0.35">
      <c r="A2313" s="4">
        <v>778900</v>
      </c>
      <c r="B2313" s="5" t="s">
        <v>2444</v>
      </c>
    </row>
    <row r="2314" spans="1:2" x14ac:dyDescent="0.35">
      <c r="A2314" s="4">
        <v>779200</v>
      </c>
      <c r="B2314" s="5" t="s">
        <v>2445</v>
      </c>
    </row>
    <row r="2315" spans="1:2" x14ac:dyDescent="0.35">
      <c r="A2315" s="4">
        <v>779250</v>
      </c>
      <c r="B2315" s="5" t="s">
        <v>2446</v>
      </c>
    </row>
    <row r="2316" spans="1:2" x14ac:dyDescent="0.35">
      <c r="A2316" s="4">
        <v>779300</v>
      </c>
      <c r="B2316" s="5" t="s">
        <v>2447</v>
      </c>
    </row>
    <row r="2317" spans="1:2" x14ac:dyDescent="0.35">
      <c r="A2317" s="4">
        <v>779350</v>
      </c>
      <c r="B2317" s="5" t="s">
        <v>2448</v>
      </c>
    </row>
    <row r="2318" spans="1:2" x14ac:dyDescent="0.35">
      <c r="A2318" s="4">
        <v>779400</v>
      </c>
      <c r="B2318" s="5" t="s">
        <v>2449</v>
      </c>
    </row>
    <row r="2319" spans="1:2" x14ac:dyDescent="0.35">
      <c r="A2319" s="4">
        <v>779450</v>
      </c>
      <c r="B2319" s="5" t="s">
        <v>2450</v>
      </c>
    </row>
    <row r="2320" spans="1:2" x14ac:dyDescent="0.35">
      <c r="A2320" s="4">
        <v>779900</v>
      </c>
      <c r="B2320" s="5" t="s">
        <v>2451</v>
      </c>
    </row>
    <row r="2321" spans="1:2" x14ac:dyDescent="0.35">
      <c r="A2321" s="4">
        <v>781200</v>
      </c>
      <c r="B2321" s="5" t="s">
        <v>2452</v>
      </c>
    </row>
    <row r="2322" spans="1:2" x14ac:dyDescent="0.35">
      <c r="A2322" s="4">
        <v>781300</v>
      </c>
      <c r="B2322" s="5" t="s">
        <v>2453</v>
      </c>
    </row>
    <row r="2323" spans="1:2" x14ac:dyDescent="0.35">
      <c r="A2323" s="4">
        <v>781400</v>
      </c>
      <c r="B2323" s="5" t="s">
        <v>2454</v>
      </c>
    </row>
    <row r="2324" spans="1:2" x14ac:dyDescent="0.35">
      <c r="A2324" s="4">
        <v>781500</v>
      </c>
      <c r="B2324" s="5" t="s">
        <v>2455</v>
      </c>
    </row>
    <row r="2325" spans="1:2" x14ac:dyDescent="0.35">
      <c r="A2325" s="4">
        <v>781600</v>
      </c>
      <c r="B2325" s="5" t="s">
        <v>2456</v>
      </c>
    </row>
    <row r="2326" spans="1:2" x14ac:dyDescent="0.35">
      <c r="A2326" s="4">
        <v>781700</v>
      </c>
      <c r="B2326" s="5" t="s">
        <v>2457</v>
      </c>
    </row>
    <row r="2327" spans="1:2" x14ac:dyDescent="0.35">
      <c r="A2327" s="4">
        <v>781900</v>
      </c>
      <c r="B2327" s="5" t="s">
        <v>2458</v>
      </c>
    </row>
    <row r="2328" spans="1:2" x14ac:dyDescent="0.35">
      <c r="A2328" s="4">
        <v>782200</v>
      </c>
      <c r="B2328" s="5" t="s">
        <v>2459</v>
      </c>
    </row>
    <row r="2329" spans="1:2" x14ac:dyDescent="0.35">
      <c r="A2329" s="4">
        <v>782400</v>
      </c>
      <c r="B2329" s="5" t="s">
        <v>2460</v>
      </c>
    </row>
    <row r="2330" spans="1:2" x14ac:dyDescent="0.35">
      <c r="A2330" s="4">
        <v>782900</v>
      </c>
      <c r="B2330" s="5" t="s">
        <v>2461</v>
      </c>
    </row>
    <row r="2331" spans="1:2" x14ac:dyDescent="0.35">
      <c r="A2331" s="4">
        <v>783200</v>
      </c>
      <c r="B2331" s="5" t="s">
        <v>2462</v>
      </c>
    </row>
    <row r="2332" spans="1:2" x14ac:dyDescent="0.35">
      <c r="A2332" s="4">
        <v>783400</v>
      </c>
      <c r="B2332" s="5" t="s">
        <v>2463</v>
      </c>
    </row>
    <row r="2333" spans="1:2" x14ac:dyDescent="0.35">
      <c r="A2333" s="4">
        <v>783900</v>
      </c>
      <c r="B2333" s="5" t="s">
        <v>2461</v>
      </c>
    </row>
    <row r="2334" spans="1:2" x14ac:dyDescent="0.35">
      <c r="A2334" s="4">
        <v>789200</v>
      </c>
      <c r="B2334" s="5" t="s">
        <v>2464</v>
      </c>
    </row>
    <row r="2335" spans="1:2" x14ac:dyDescent="0.35">
      <c r="A2335" s="4">
        <v>789400</v>
      </c>
      <c r="B2335" s="5" t="s">
        <v>2465</v>
      </c>
    </row>
    <row r="2336" spans="1:2" x14ac:dyDescent="0.35">
      <c r="A2336" s="4">
        <v>789900</v>
      </c>
      <c r="B2336" s="5" t="s">
        <v>2466</v>
      </c>
    </row>
    <row r="2337" spans="1:2" x14ac:dyDescent="0.35">
      <c r="A2337" s="4">
        <v>791150</v>
      </c>
      <c r="B2337" s="5" t="s">
        <v>2467</v>
      </c>
    </row>
    <row r="2338" spans="1:2" x14ac:dyDescent="0.35">
      <c r="A2338" s="4">
        <v>791200</v>
      </c>
      <c r="B2338" s="5" t="s">
        <v>2468</v>
      </c>
    </row>
    <row r="2339" spans="1:2" x14ac:dyDescent="0.35">
      <c r="A2339" s="4">
        <v>791250</v>
      </c>
      <c r="B2339" s="5" t="s">
        <v>2469</v>
      </c>
    </row>
    <row r="2340" spans="1:2" x14ac:dyDescent="0.35">
      <c r="A2340" s="4">
        <v>791300</v>
      </c>
      <c r="B2340" s="5" t="s">
        <v>2470</v>
      </c>
    </row>
    <row r="2341" spans="1:2" x14ac:dyDescent="0.35">
      <c r="A2341" s="4">
        <v>791350</v>
      </c>
      <c r="B2341" s="5" t="s">
        <v>2471</v>
      </c>
    </row>
    <row r="2342" spans="1:2" x14ac:dyDescent="0.35">
      <c r="A2342" s="4">
        <v>791400</v>
      </c>
      <c r="B2342" s="5" t="s">
        <v>2472</v>
      </c>
    </row>
    <row r="2343" spans="1:2" x14ac:dyDescent="0.35">
      <c r="A2343" s="4">
        <v>791450</v>
      </c>
      <c r="B2343" s="5" t="s">
        <v>2473</v>
      </c>
    </row>
    <row r="2344" spans="1:2" x14ac:dyDescent="0.35">
      <c r="A2344" s="4">
        <v>791900</v>
      </c>
      <c r="B2344" s="5" t="s">
        <v>2474</v>
      </c>
    </row>
    <row r="2345" spans="1:2" x14ac:dyDescent="0.35">
      <c r="A2345" s="4">
        <v>792100</v>
      </c>
      <c r="B2345" s="5" t="s">
        <v>2475</v>
      </c>
    </row>
    <row r="2346" spans="1:2" x14ac:dyDescent="0.35">
      <c r="A2346" s="4">
        <v>792900</v>
      </c>
      <c r="B2346" s="5" t="s">
        <v>2476</v>
      </c>
    </row>
    <row r="2347" spans="1:2" x14ac:dyDescent="0.35">
      <c r="A2347" s="4">
        <v>793100</v>
      </c>
      <c r="B2347" s="5" t="s">
        <v>2477</v>
      </c>
    </row>
    <row r="2348" spans="1:2" x14ac:dyDescent="0.35">
      <c r="A2348" s="4">
        <v>793200</v>
      </c>
      <c r="B2348" s="5" t="s">
        <v>2478</v>
      </c>
    </row>
    <row r="2349" spans="1:2" x14ac:dyDescent="0.35">
      <c r="A2349" s="4">
        <v>793300</v>
      </c>
      <c r="B2349" s="5" t="s">
        <v>2479</v>
      </c>
    </row>
    <row r="2350" spans="1:2" x14ac:dyDescent="0.35">
      <c r="A2350" s="4">
        <v>793400</v>
      </c>
      <c r="B2350" s="5" t="s">
        <v>2480</v>
      </c>
    </row>
    <row r="2351" spans="1:2" x14ac:dyDescent="0.35">
      <c r="A2351" s="4">
        <v>793900</v>
      </c>
      <c r="B2351" s="5" t="s">
        <v>2481</v>
      </c>
    </row>
    <row r="2352" spans="1:2" x14ac:dyDescent="0.35">
      <c r="A2352" s="4">
        <v>794200</v>
      </c>
      <c r="B2352" s="5" t="s">
        <v>2482</v>
      </c>
    </row>
    <row r="2353" spans="1:2" x14ac:dyDescent="0.35">
      <c r="A2353" s="4">
        <v>794300</v>
      </c>
      <c r="B2353" s="5" t="s">
        <v>2483</v>
      </c>
    </row>
    <row r="2354" spans="1:2" x14ac:dyDescent="0.35">
      <c r="A2354" s="4">
        <v>794400</v>
      </c>
      <c r="B2354" s="5" t="s">
        <v>2484</v>
      </c>
    </row>
    <row r="2355" spans="1:2" x14ac:dyDescent="0.35">
      <c r="A2355" s="4">
        <v>794500</v>
      </c>
      <c r="B2355" s="5" t="s">
        <v>2485</v>
      </c>
    </row>
    <row r="2356" spans="1:2" x14ac:dyDescent="0.35">
      <c r="A2356" s="4">
        <v>794600</v>
      </c>
      <c r="B2356" s="5" t="s">
        <v>2486</v>
      </c>
    </row>
    <row r="2357" spans="1:2" x14ac:dyDescent="0.35">
      <c r="A2357" s="4">
        <v>794700</v>
      </c>
      <c r="B2357" s="5" t="s">
        <v>2487</v>
      </c>
    </row>
    <row r="2358" spans="1:2" x14ac:dyDescent="0.35">
      <c r="A2358" s="4">
        <v>794800</v>
      </c>
      <c r="B2358" s="5" t="s">
        <v>2488</v>
      </c>
    </row>
    <row r="2359" spans="1:2" x14ac:dyDescent="0.35">
      <c r="A2359" s="4">
        <v>794900</v>
      </c>
      <c r="B2359" s="5" t="s">
        <v>2489</v>
      </c>
    </row>
    <row r="2360" spans="1:2" x14ac:dyDescent="0.35">
      <c r="A2360" s="4">
        <v>795000</v>
      </c>
      <c r="B2360" s="5" t="s">
        <v>2490</v>
      </c>
    </row>
    <row r="2361" spans="1:2" x14ac:dyDescent="0.35">
      <c r="A2361" s="4">
        <v>795100</v>
      </c>
      <c r="B2361" s="5" t="s">
        <v>2491</v>
      </c>
    </row>
    <row r="2362" spans="1:2" x14ac:dyDescent="0.35">
      <c r="A2362" s="4">
        <v>795110</v>
      </c>
      <c r="B2362" s="5" t="s">
        <v>2492</v>
      </c>
    </row>
    <row r="2363" spans="1:2" x14ac:dyDescent="0.35">
      <c r="A2363" s="4">
        <v>795150</v>
      </c>
      <c r="B2363" s="5" t="s">
        <v>2493</v>
      </c>
    </row>
    <row r="2364" spans="1:2" x14ac:dyDescent="0.35">
      <c r="A2364" s="4">
        <v>795200</v>
      </c>
      <c r="B2364" s="5" t="s">
        <v>2494</v>
      </c>
    </row>
    <row r="2365" spans="1:2" x14ac:dyDescent="0.35">
      <c r="A2365" s="4">
        <v>795250</v>
      </c>
      <c r="B2365" s="5" t="s">
        <v>2495</v>
      </c>
    </row>
    <row r="2366" spans="1:2" x14ac:dyDescent="0.35">
      <c r="A2366" s="4">
        <v>795300</v>
      </c>
      <c r="B2366" s="5" t="s">
        <v>2496</v>
      </c>
    </row>
    <row r="2367" spans="1:2" x14ac:dyDescent="0.35">
      <c r="A2367" s="4">
        <v>795350</v>
      </c>
      <c r="B2367" s="5" t="s">
        <v>2497</v>
      </c>
    </row>
    <row r="2368" spans="1:2" x14ac:dyDescent="0.35">
      <c r="A2368" s="4">
        <v>795400</v>
      </c>
      <c r="B2368" s="5" t="s">
        <v>2498</v>
      </c>
    </row>
    <row r="2369" spans="1:2" x14ac:dyDescent="0.35">
      <c r="A2369" s="4">
        <v>795450</v>
      </c>
      <c r="B2369" s="5" t="s">
        <v>2499</v>
      </c>
    </row>
    <row r="2370" spans="1:2" x14ac:dyDescent="0.35">
      <c r="A2370" s="4">
        <v>795500</v>
      </c>
      <c r="B2370" s="5" t="s">
        <v>2500</v>
      </c>
    </row>
    <row r="2371" spans="1:2" x14ac:dyDescent="0.35">
      <c r="A2371" s="4">
        <v>795550</v>
      </c>
      <c r="B2371" s="5" t="s">
        <v>2501</v>
      </c>
    </row>
    <row r="2372" spans="1:2" x14ac:dyDescent="0.35">
      <c r="A2372" s="4">
        <v>795600</v>
      </c>
      <c r="B2372" s="5" t="s">
        <v>2502</v>
      </c>
    </row>
    <row r="2373" spans="1:2" x14ac:dyDescent="0.35">
      <c r="A2373" s="4">
        <v>795700</v>
      </c>
      <c r="B2373" s="5" t="s">
        <v>2503</v>
      </c>
    </row>
    <row r="2374" spans="1:2" x14ac:dyDescent="0.35">
      <c r="A2374" s="4">
        <v>795900</v>
      </c>
      <c r="B2374" s="5" t="s">
        <v>2504</v>
      </c>
    </row>
    <row r="2375" spans="1:2" x14ac:dyDescent="0.35">
      <c r="A2375" s="4">
        <v>796200</v>
      </c>
      <c r="B2375" s="5" t="s">
        <v>2505</v>
      </c>
    </row>
    <row r="2376" spans="1:2" x14ac:dyDescent="0.35">
      <c r="A2376" s="4">
        <v>796300</v>
      </c>
      <c r="B2376" s="5" t="s">
        <v>2506</v>
      </c>
    </row>
    <row r="2377" spans="1:2" x14ac:dyDescent="0.35">
      <c r="A2377" s="4">
        <v>796400</v>
      </c>
      <c r="B2377" s="5" t="s">
        <v>2507</v>
      </c>
    </row>
    <row r="2378" spans="1:2" x14ac:dyDescent="0.35">
      <c r="A2378" s="4">
        <v>796500</v>
      </c>
      <c r="B2378" s="5" t="s">
        <v>2508</v>
      </c>
    </row>
    <row r="2379" spans="1:2" x14ac:dyDescent="0.35">
      <c r="A2379" s="4">
        <v>796900</v>
      </c>
      <c r="B2379" s="5" t="s">
        <v>2509</v>
      </c>
    </row>
    <row r="2380" spans="1:2" x14ac:dyDescent="0.35">
      <c r="A2380" s="4">
        <v>799400</v>
      </c>
      <c r="B2380" s="5" t="s">
        <v>2510</v>
      </c>
    </row>
    <row r="2381" spans="1:2" x14ac:dyDescent="0.35">
      <c r="A2381" s="4">
        <v>799500</v>
      </c>
      <c r="B2381" s="5" t="s">
        <v>2511</v>
      </c>
    </row>
    <row r="2382" spans="1:2" x14ac:dyDescent="0.35">
      <c r="A2382" s="4">
        <v>799600</v>
      </c>
      <c r="B2382" s="5" t="s">
        <v>2512</v>
      </c>
    </row>
    <row r="2383" spans="1:2" x14ac:dyDescent="0.35">
      <c r="A2383" s="4">
        <v>799700</v>
      </c>
      <c r="B2383" s="5" t="s">
        <v>2513</v>
      </c>
    </row>
    <row r="2384" spans="1:2" x14ac:dyDescent="0.35">
      <c r="A2384" s="4">
        <v>799800</v>
      </c>
      <c r="B2384" s="5" t="s">
        <v>2514</v>
      </c>
    </row>
    <row r="2385" spans="1:2" x14ac:dyDescent="0.35">
      <c r="A2385" s="4">
        <v>799810</v>
      </c>
      <c r="B2385" s="5" t="s">
        <v>2515</v>
      </c>
    </row>
    <row r="2386" spans="1:2" x14ac:dyDescent="0.35">
      <c r="A2386" s="4">
        <v>799820</v>
      </c>
      <c r="B2386" s="5" t="s">
        <v>2516</v>
      </c>
    </row>
    <row r="2387" spans="1:2" x14ac:dyDescent="0.35">
      <c r="A2387" s="4">
        <v>799830</v>
      </c>
      <c r="B2387" s="5" t="s">
        <v>2517</v>
      </c>
    </row>
    <row r="2388" spans="1:2" x14ac:dyDescent="0.35">
      <c r="A2388" s="4">
        <v>799900</v>
      </c>
      <c r="B2388" s="5" t="s">
        <v>2518</v>
      </c>
    </row>
    <row r="2389" spans="1:2" x14ac:dyDescent="0.35">
      <c r="A2389" s="4">
        <v>801000</v>
      </c>
      <c r="B2389" s="5" t="s">
        <v>2519</v>
      </c>
    </row>
    <row r="2390" spans="1:2" x14ac:dyDescent="0.35">
      <c r="A2390" s="4">
        <v>801100</v>
      </c>
      <c r="B2390" s="5" t="s">
        <v>2520</v>
      </c>
    </row>
    <row r="2391" spans="1:2" x14ac:dyDescent="0.35">
      <c r="A2391" s="4">
        <v>801200</v>
      </c>
      <c r="B2391" s="5" t="s">
        <v>2521</v>
      </c>
    </row>
    <row r="2392" spans="1:2" x14ac:dyDescent="0.35">
      <c r="A2392" s="4">
        <v>801300</v>
      </c>
      <c r="B2392" s="5" t="s">
        <v>2522</v>
      </c>
    </row>
    <row r="2393" spans="1:2" x14ac:dyDescent="0.35">
      <c r="A2393" s="4">
        <v>801400</v>
      </c>
      <c r="B2393" s="5" t="s">
        <v>2523</v>
      </c>
    </row>
    <row r="2394" spans="1:2" x14ac:dyDescent="0.35">
      <c r="A2394" s="4">
        <v>801900</v>
      </c>
      <c r="B2394" s="5" t="s">
        <v>2524</v>
      </c>
    </row>
    <row r="2395" spans="1:2" x14ac:dyDescent="0.35">
      <c r="A2395" s="4">
        <v>802150</v>
      </c>
      <c r="B2395" s="5" t="s">
        <v>2525</v>
      </c>
    </row>
    <row r="2396" spans="1:2" x14ac:dyDescent="0.35">
      <c r="A2396" s="4">
        <v>802200</v>
      </c>
      <c r="B2396" s="5" t="s">
        <v>2526</v>
      </c>
    </row>
    <row r="2397" spans="1:2" x14ac:dyDescent="0.35">
      <c r="A2397" s="4">
        <v>802250</v>
      </c>
      <c r="B2397" s="5" t="s">
        <v>2527</v>
      </c>
    </row>
    <row r="2398" spans="1:2" x14ac:dyDescent="0.35">
      <c r="A2398" s="4">
        <v>802300</v>
      </c>
      <c r="B2398" s="5" t="s">
        <v>2528</v>
      </c>
    </row>
    <row r="2399" spans="1:2" x14ac:dyDescent="0.35">
      <c r="A2399" s="4">
        <v>802350</v>
      </c>
      <c r="B2399" s="5" t="s">
        <v>2529</v>
      </c>
    </row>
    <row r="2400" spans="1:2" x14ac:dyDescent="0.35">
      <c r="A2400" s="4">
        <v>802400</v>
      </c>
      <c r="B2400" s="5" t="s">
        <v>2530</v>
      </c>
    </row>
    <row r="2401" spans="1:2" x14ac:dyDescent="0.35">
      <c r="A2401" s="4">
        <v>802450</v>
      </c>
      <c r="B2401" s="5" t="s">
        <v>2531</v>
      </c>
    </row>
    <row r="2402" spans="1:2" x14ac:dyDescent="0.35">
      <c r="A2402" s="4">
        <v>802500</v>
      </c>
      <c r="B2402" s="5" t="s">
        <v>2532</v>
      </c>
    </row>
    <row r="2403" spans="1:2" x14ac:dyDescent="0.35">
      <c r="A2403" s="4">
        <v>802550</v>
      </c>
      <c r="B2403" s="5" t="s">
        <v>2533</v>
      </c>
    </row>
    <row r="2404" spans="1:2" x14ac:dyDescent="0.35">
      <c r="A2404" s="4">
        <v>802600</v>
      </c>
      <c r="B2404" s="5" t="s">
        <v>2534</v>
      </c>
    </row>
    <row r="2405" spans="1:2" x14ac:dyDescent="0.35">
      <c r="A2405" s="4">
        <v>802900</v>
      </c>
      <c r="B2405" s="5" t="s">
        <v>2535</v>
      </c>
    </row>
    <row r="2406" spans="1:2" x14ac:dyDescent="0.35">
      <c r="A2406" s="4">
        <v>803100</v>
      </c>
      <c r="B2406" s="5" t="s">
        <v>2536</v>
      </c>
    </row>
    <row r="2407" spans="1:2" x14ac:dyDescent="0.35">
      <c r="A2407" s="4">
        <v>803200</v>
      </c>
      <c r="B2407" s="5" t="s">
        <v>2537</v>
      </c>
    </row>
    <row r="2408" spans="1:2" x14ac:dyDescent="0.35">
      <c r="A2408" s="4">
        <v>803300</v>
      </c>
      <c r="B2408" s="5" t="s">
        <v>2538</v>
      </c>
    </row>
    <row r="2409" spans="1:2" x14ac:dyDescent="0.35">
      <c r="A2409" s="4">
        <v>803400</v>
      </c>
      <c r="B2409" s="5" t="s">
        <v>2539</v>
      </c>
    </row>
    <row r="2410" spans="1:2" x14ac:dyDescent="0.35">
      <c r="A2410" s="4">
        <v>803500</v>
      </c>
      <c r="B2410" s="5" t="s">
        <v>2540</v>
      </c>
    </row>
    <row r="2411" spans="1:2" x14ac:dyDescent="0.35">
      <c r="A2411" s="4">
        <v>803600</v>
      </c>
      <c r="B2411" s="5" t="s">
        <v>2541</v>
      </c>
    </row>
    <row r="2412" spans="1:2" x14ac:dyDescent="0.35">
      <c r="A2412" s="4">
        <v>803700</v>
      </c>
      <c r="B2412" s="5" t="s">
        <v>2542</v>
      </c>
    </row>
    <row r="2413" spans="1:2" x14ac:dyDescent="0.35">
      <c r="A2413" s="4">
        <v>803800</v>
      </c>
      <c r="B2413" s="5" t="s">
        <v>2543</v>
      </c>
    </row>
    <row r="2414" spans="1:2" x14ac:dyDescent="0.35">
      <c r="A2414" s="4">
        <v>803900</v>
      </c>
      <c r="B2414" s="5" t="s">
        <v>2544</v>
      </c>
    </row>
    <row r="2415" spans="1:2" x14ac:dyDescent="0.35">
      <c r="A2415" s="4">
        <v>811100</v>
      </c>
      <c r="B2415" s="5" t="s">
        <v>2545</v>
      </c>
    </row>
    <row r="2416" spans="1:2" x14ac:dyDescent="0.35">
      <c r="A2416" s="4">
        <v>811200</v>
      </c>
      <c r="B2416" s="5" t="s">
        <v>2546</v>
      </c>
    </row>
    <row r="2417" spans="1:2" x14ac:dyDescent="0.35">
      <c r="A2417" s="4">
        <v>811300</v>
      </c>
      <c r="B2417" s="5" t="s">
        <v>2547</v>
      </c>
    </row>
    <row r="2418" spans="1:2" x14ac:dyDescent="0.35">
      <c r="A2418" s="4">
        <v>811400</v>
      </c>
      <c r="B2418" s="5" t="s">
        <v>2548</v>
      </c>
    </row>
    <row r="2419" spans="1:2" x14ac:dyDescent="0.35">
      <c r="A2419" s="4">
        <v>811900</v>
      </c>
      <c r="B2419" s="5" t="s">
        <v>2549</v>
      </c>
    </row>
    <row r="2420" spans="1:2" x14ac:dyDescent="0.35">
      <c r="A2420" s="4">
        <v>812100</v>
      </c>
      <c r="B2420" s="5" t="s">
        <v>2550</v>
      </c>
    </row>
    <row r="2421" spans="1:2" x14ac:dyDescent="0.35">
      <c r="A2421" s="4">
        <v>812200</v>
      </c>
      <c r="B2421" s="5" t="s">
        <v>2551</v>
      </c>
    </row>
    <row r="2422" spans="1:2" x14ac:dyDescent="0.35">
      <c r="A2422" s="4">
        <v>812300</v>
      </c>
      <c r="B2422" s="5" t="s">
        <v>2552</v>
      </c>
    </row>
    <row r="2423" spans="1:2" x14ac:dyDescent="0.35">
      <c r="A2423" s="4">
        <v>812400</v>
      </c>
      <c r="B2423" s="5" t="s">
        <v>2553</v>
      </c>
    </row>
    <row r="2424" spans="1:2" x14ac:dyDescent="0.35">
      <c r="A2424" s="4">
        <v>812500</v>
      </c>
      <c r="B2424" s="5" t="s">
        <v>2554</v>
      </c>
    </row>
    <row r="2425" spans="1:2" x14ac:dyDescent="0.35">
      <c r="A2425" s="4">
        <v>812600</v>
      </c>
      <c r="B2425" s="5" t="s">
        <v>2555</v>
      </c>
    </row>
    <row r="2426" spans="1:2" x14ac:dyDescent="0.35">
      <c r="A2426" s="4">
        <v>812900</v>
      </c>
      <c r="B2426" s="5" t="s">
        <v>2556</v>
      </c>
    </row>
    <row r="2427" spans="1:2" x14ac:dyDescent="0.35">
      <c r="A2427" s="4">
        <v>819200</v>
      </c>
      <c r="B2427" s="5" t="s">
        <v>2557</v>
      </c>
    </row>
    <row r="2428" spans="1:2" x14ac:dyDescent="0.35">
      <c r="A2428" s="4">
        <v>819220</v>
      </c>
      <c r="B2428" s="5" t="s">
        <v>2558</v>
      </c>
    </row>
    <row r="2429" spans="1:2" x14ac:dyDescent="0.35">
      <c r="A2429" s="4">
        <v>819240</v>
      </c>
      <c r="B2429" s="5" t="s">
        <v>2559</v>
      </c>
    </row>
    <row r="2430" spans="1:2" x14ac:dyDescent="0.35">
      <c r="A2430" s="4">
        <v>819260</v>
      </c>
      <c r="B2430" s="5" t="s">
        <v>2560</v>
      </c>
    </row>
    <row r="2431" spans="1:2" x14ac:dyDescent="0.35">
      <c r="A2431" s="4">
        <v>819280</v>
      </c>
      <c r="B2431" s="5" t="s">
        <v>2561</v>
      </c>
    </row>
    <row r="2432" spans="1:2" x14ac:dyDescent="0.35">
      <c r="A2432" s="4">
        <v>819300</v>
      </c>
      <c r="B2432" s="5" t="s">
        <v>2562</v>
      </c>
    </row>
    <row r="2433" spans="1:2" x14ac:dyDescent="0.35">
      <c r="A2433" s="4">
        <v>819320</v>
      </c>
      <c r="B2433" s="5" t="s">
        <v>2563</v>
      </c>
    </row>
    <row r="2434" spans="1:2" x14ac:dyDescent="0.35">
      <c r="A2434" s="4">
        <v>819340</v>
      </c>
      <c r="B2434" s="5" t="s">
        <v>2564</v>
      </c>
    </row>
    <row r="2435" spans="1:2" x14ac:dyDescent="0.35">
      <c r="A2435" s="4">
        <v>819360</v>
      </c>
      <c r="B2435" s="5" t="s">
        <v>2565</v>
      </c>
    </row>
    <row r="2436" spans="1:2" x14ac:dyDescent="0.35">
      <c r="A2436" s="4">
        <v>819380</v>
      </c>
      <c r="B2436" s="5" t="s">
        <v>2566</v>
      </c>
    </row>
    <row r="2437" spans="1:2" x14ac:dyDescent="0.35">
      <c r="A2437" s="4">
        <v>819400</v>
      </c>
      <c r="B2437" s="5" t="s">
        <v>2567</v>
      </c>
    </row>
    <row r="2438" spans="1:2" x14ac:dyDescent="0.35">
      <c r="A2438" s="4">
        <v>819420</v>
      </c>
      <c r="B2438" s="5" t="s">
        <v>2568</v>
      </c>
    </row>
    <row r="2439" spans="1:2" x14ac:dyDescent="0.35">
      <c r="A2439" s="4">
        <v>819440</v>
      </c>
      <c r="B2439" s="5" t="s">
        <v>2569</v>
      </c>
    </row>
    <row r="2440" spans="1:2" x14ac:dyDescent="0.35">
      <c r="A2440" s="4">
        <v>819460</v>
      </c>
      <c r="B2440" s="5" t="s">
        <v>2570</v>
      </c>
    </row>
    <row r="2441" spans="1:2" x14ac:dyDescent="0.35">
      <c r="A2441" s="4">
        <v>819480</v>
      </c>
      <c r="B2441" s="5" t="s">
        <v>2571</v>
      </c>
    </row>
    <row r="2442" spans="1:2" x14ac:dyDescent="0.35">
      <c r="A2442" s="4">
        <v>819500</v>
      </c>
      <c r="B2442" s="5" t="s">
        <v>2572</v>
      </c>
    </row>
    <row r="2443" spans="1:2" x14ac:dyDescent="0.35">
      <c r="A2443" s="4">
        <v>819520</v>
      </c>
      <c r="B2443" s="5" t="s">
        <v>2573</v>
      </c>
    </row>
    <row r="2444" spans="1:2" x14ac:dyDescent="0.35">
      <c r="A2444" s="4">
        <v>819540</v>
      </c>
      <c r="B2444" s="5" t="s">
        <v>2574</v>
      </c>
    </row>
    <row r="2445" spans="1:2" x14ac:dyDescent="0.35">
      <c r="A2445" s="4">
        <v>819560</v>
      </c>
      <c r="B2445" s="5" t="s">
        <v>2575</v>
      </c>
    </row>
    <row r="2446" spans="1:2" x14ac:dyDescent="0.35">
      <c r="A2446" s="4">
        <v>819900</v>
      </c>
      <c r="B2446" s="5" t="s">
        <v>2576</v>
      </c>
    </row>
    <row r="2447" spans="1:2" x14ac:dyDescent="0.35">
      <c r="A2447" s="4">
        <v>820150</v>
      </c>
      <c r="B2447" s="5" t="s">
        <v>2577</v>
      </c>
    </row>
    <row r="2448" spans="1:2" x14ac:dyDescent="0.35">
      <c r="A2448" s="4">
        <v>820200</v>
      </c>
      <c r="B2448" s="5" t="s">
        <v>2578</v>
      </c>
    </row>
    <row r="2449" spans="1:2" x14ac:dyDescent="0.35">
      <c r="A2449" s="4">
        <v>820250</v>
      </c>
      <c r="B2449" s="5" t="s">
        <v>2579</v>
      </c>
    </row>
    <row r="2450" spans="1:2" x14ac:dyDescent="0.35">
      <c r="A2450" s="4">
        <v>820300</v>
      </c>
      <c r="B2450" s="5" t="s">
        <v>2580</v>
      </c>
    </row>
    <row r="2451" spans="1:2" x14ac:dyDescent="0.35">
      <c r="A2451" s="4">
        <v>820350</v>
      </c>
      <c r="B2451" s="5" t="s">
        <v>2581</v>
      </c>
    </row>
    <row r="2452" spans="1:2" x14ac:dyDescent="0.35">
      <c r="A2452" s="4">
        <v>820400</v>
      </c>
      <c r="B2452" s="5" t="s">
        <v>2582</v>
      </c>
    </row>
    <row r="2453" spans="1:2" x14ac:dyDescent="0.35">
      <c r="A2453" s="4">
        <v>820450</v>
      </c>
      <c r="B2453" s="5" t="s">
        <v>2583</v>
      </c>
    </row>
    <row r="2454" spans="1:2" x14ac:dyDescent="0.35">
      <c r="A2454" s="4">
        <v>820500</v>
      </c>
      <c r="B2454" s="5" t="s">
        <v>2584</v>
      </c>
    </row>
    <row r="2455" spans="1:2" x14ac:dyDescent="0.35">
      <c r="A2455" s="4">
        <v>820550</v>
      </c>
      <c r="B2455" s="5" t="s">
        <v>2585</v>
      </c>
    </row>
    <row r="2456" spans="1:2" x14ac:dyDescent="0.35">
      <c r="A2456" s="4">
        <v>820600</v>
      </c>
      <c r="B2456" s="5" t="s">
        <v>2586</v>
      </c>
    </row>
    <row r="2457" spans="1:2" x14ac:dyDescent="0.35">
      <c r="A2457" s="4">
        <v>820900</v>
      </c>
      <c r="B2457" s="5" t="s">
        <v>2587</v>
      </c>
    </row>
    <row r="2458" spans="1:2" x14ac:dyDescent="0.35">
      <c r="A2458" s="4">
        <v>830000</v>
      </c>
      <c r="B2458" s="5" t="s">
        <v>2588</v>
      </c>
    </row>
    <row r="2459" spans="1:2" x14ac:dyDescent="0.35">
      <c r="A2459" s="4">
        <v>830100</v>
      </c>
      <c r="B2459" s="5" t="s">
        <v>2589</v>
      </c>
    </row>
    <row r="2460" spans="1:2" x14ac:dyDescent="0.35">
      <c r="A2460" s="4">
        <v>831100</v>
      </c>
      <c r="B2460" s="5" t="s">
        <v>2590</v>
      </c>
    </row>
    <row r="2461" spans="1:2" x14ac:dyDescent="0.35">
      <c r="A2461" s="4">
        <v>831200</v>
      </c>
      <c r="B2461" s="5" t="s">
        <v>2591</v>
      </c>
    </row>
    <row r="2462" spans="1:2" x14ac:dyDescent="0.35">
      <c r="A2462" s="4">
        <v>831300</v>
      </c>
      <c r="B2462" s="5" t="s">
        <v>2592</v>
      </c>
    </row>
    <row r="2463" spans="1:2" x14ac:dyDescent="0.35">
      <c r="A2463" s="4">
        <v>831400</v>
      </c>
      <c r="B2463" s="5" t="s">
        <v>2593</v>
      </c>
    </row>
    <row r="2464" spans="1:2" x14ac:dyDescent="0.35">
      <c r="A2464" s="4">
        <v>831500</v>
      </c>
      <c r="B2464" s="5" t="s">
        <v>2594</v>
      </c>
    </row>
    <row r="2465" spans="1:2" x14ac:dyDescent="0.35">
      <c r="A2465" s="4">
        <v>831600</v>
      </c>
      <c r="B2465" s="5" t="s">
        <v>2595</v>
      </c>
    </row>
    <row r="2466" spans="1:2" x14ac:dyDescent="0.35">
      <c r="A2466" s="4">
        <v>831900</v>
      </c>
      <c r="B2466" s="5" t="s">
        <v>2596</v>
      </c>
    </row>
    <row r="2467" spans="1:2" x14ac:dyDescent="0.35">
      <c r="A2467" s="4">
        <v>832000</v>
      </c>
      <c r="B2467" s="5" t="s">
        <v>2597</v>
      </c>
    </row>
    <row r="2468" spans="1:2" x14ac:dyDescent="0.35">
      <c r="A2468" s="4">
        <v>832100</v>
      </c>
      <c r="B2468" s="5" t="s">
        <v>2598</v>
      </c>
    </row>
    <row r="2469" spans="1:2" x14ac:dyDescent="0.35">
      <c r="A2469" s="4">
        <v>832200</v>
      </c>
      <c r="B2469" s="5" t="s">
        <v>2599</v>
      </c>
    </row>
    <row r="2470" spans="1:2" x14ac:dyDescent="0.35">
      <c r="A2470" s="4">
        <v>832300</v>
      </c>
      <c r="B2470" s="5" t="s">
        <v>2600</v>
      </c>
    </row>
    <row r="2471" spans="1:2" x14ac:dyDescent="0.35">
      <c r="A2471" s="4">
        <v>832400</v>
      </c>
      <c r="B2471" s="5" t="s">
        <v>2601</v>
      </c>
    </row>
    <row r="2472" spans="1:2" x14ac:dyDescent="0.35">
      <c r="A2472" s="4">
        <v>832500</v>
      </c>
      <c r="B2472" s="5" t="s">
        <v>2602</v>
      </c>
    </row>
    <row r="2473" spans="1:2" x14ac:dyDescent="0.35">
      <c r="A2473" s="4">
        <v>832600</v>
      </c>
      <c r="B2473" s="5" t="s">
        <v>2603</v>
      </c>
    </row>
    <row r="2474" spans="1:2" x14ac:dyDescent="0.35">
      <c r="A2474" s="4">
        <v>832700</v>
      </c>
      <c r="B2474" s="5" t="s">
        <v>2604</v>
      </c>
    </row>
    <row r="2475" spans="1:2" x14ac:dyDescent="0.35">
      <c r="A2475" s="4">
        <v>832900</v>
      </c>
      <c r="B2475" s="5" t="s">
        <v>2605</v>
      </c>
    </row>
    <row r="2476" spans="1:2" x14ac:dyDescent="0.35">
      <c r="A2476" s="4">
        <v>833100</v>
      </c>
      <c r="B2476" s="5" t="s">
        <v>2606</v>
      </c>
    </row>
    <row r="2477" spans="1:2" x14ac:dyDescent="0.35">
      <c r="A2477" s="4">
        <v>833150</v>
      </c>
      <c r="B2477" s="5" t="s">
        <v>2607</v>
      </c>
    </row>
    <row r="2478" spans="1:2" x14ac:dyDescent="0.35">
      <c r="A2478" s="4">
        <v>833200</v>
      </c>
      <c r="B2478" s="5" t="s">
        <v>2608</v>
      </c>
    </row>
    <row r="2479" spans="1:2" x14ac:dyDescent="0.35">
      <c r="A2479" s="4">
        <v>833250</v>
      </c>
      <c r="B2479" s="5" t="s">
        <v>2609</v>
      </c>
    </row>
    <row r="2480" spans="1:2" x14ac:dyDescent="0.35">
      <c r="A2480" s="4">
        <v>833300</v>
      </c>
      <c r="B2480" s="5" t="s">
        <v>2610</v>
      </c>
    </row>
    <row r="2481" spans="1:2" x14ac:dyDescent="0.35">
      <c r="A2481" s="4">
        <v>833350</v>
      </c>
      <c r="B2481" s="5" t="s">
        <v>2611</v>
      </c>
    </row>
    <row r="2482" spans="1:2" x14ac:dyDescent="0.35">
      <c r="A2482" s="4">
        <v>833400</v>
      </c>
      <c r="B2482" s="5" t="s">
        <v>2612</v>
      </c>
    </row>
    <row r="2483" spans="1:2" x14ac:dyDescent="0.35">
      <c r="A2483" s="4">
        <v>833450</v>
      </c>
      <c r="B2483" s="5" t="s">
        <v>2613</v>
      </c>
    </row>
    <row r="2484" spans="1:2" x14ac:dyDescent="0.35">
      <c r="A2484" s="4">
        <v>833500</v>
      </c>
      <c r="B2484" s="5" t="s">
        <v>2614</v>
      </c>
    </row>
    <row r="2485" spans="1:2" x14ac:dyDescent="0.35">
      <c r="A2485" s="4">
        <v>833550</v>
      </c>
      <c r="B2485" s="5" t="s">
        <v>2615</v>
      </c>
    </row>
    <row r="2486" spans="1:2" x14ac:dyDescent="0.35">
      <c r="A2486" s="4">
        <v>833600</v>
      </c>
      <c r="B2486" s="5" t="s">
        <v>2616</v>
      </c>
    </row>
    <row r="2487" spans="1:2" x14ac:dyDescent="0.35">
      <c r="A2487" s="4">
        <v>833900</v>
      </c>
      <c r="B2487" s="5" t="s">
        <v>2617</v>
      </c>
    </row>
    <row r="2488" spans="1:2" x14ac:dyDescent="0.35">
      <c r="A2488" s="4">
        <v>834000</v>
      </c>
      <c r="B2488" s="5" t="s">
        <v>2618</v>
      </c>
    </row>
    <row r="2489" spans="1:2" x14ac:dyDescent="0.35">
      <c r="A2489" s="4">
        <v>834100</v>
      </c>
      <c r="B2489" s="5" t="s">
        <v>2619</v>
      </c>
    </row>
    <row r="2490" spans="1:2" x14ac:dyDescent="0.35">
      <c r="A2490" s="4">
        <v>834150</v>
      </c>
      <c r="B2490" s="5" t="s">
        <v>2620</v>
      </c>
    </row>
    <row r="2491" spans="1:2" x14ac:dyDescent="0.35">
      <c r="A2491" s="4">
        <v>834200</v>
      </c>
      <c r="B2491" s="5" t="s">
        <v>2621</v>
      </c>
    </row>
    <row r="2492" spans="1:2" x14ac:dyDescent="0.35">
      <c r="A2492" s="4">
        <v>834250</v>
      </c>
      <c r="B2492" s="5" t="s">
        <v>2622</v>
      </c>
    </row>
    <row r="2493" spans="1:2" x14ac:dyDescent="0.35">
      <c r="A2493" s="4">
        <v>834300</v>
      </c>
      <c r="B2493" s="5" t="s">
        <v>2623</v>
      </c>
    </row>
    <row r="2494" spans="1:2" x14ac:dyDescent="0.35">
      <c r="A2494" s="4">
        <v>834350</v>
      </c>
      <c r="B2494" s="5" t="s">
        <v>2624</v>
      </c>
    </row>
    <row r="2495" spans="1:2" x14ac:dyDescent="0.35">
      <c r="A2495" s="4">
        <v>834400</v>
      </c>
      <c r="B2495" s="5" t="s">
        <v>2625</v>
      </c>
    </row>
    <row r="2496" spans="1:2" x14ac:dyDescent="0.35">
      <c r="A2496" s="4">
        <v>834450</v>
      </c>
      <c r="B2496" s="5" t="s">
        <v>2626</v>
      </c>
    </row>
    <row r="2497" spans="1:2" x14ac:dyDescent="0.35">
      <c r="A2497" s="4">
        <v>834500</v>
      </c>
      <c r="B2497" s="5" t="s">
        <v>2627</v>
      </c>
    </row>
    <row r="2498" spans="1:2" x14ac:dyDescent="0.35">
      <c r="A2498" s="4">
        <v>834900</v>
      </c>
      <c r="B2498" s="5" t="s">
        <v>2628</v>
      </c>
    </row>
    <row r="2499" spans="1:2" x14ac:dyDescent="0.35">
      <c r="A2499" s="4">
        <v>835200</v>
      </c>
      <c r="B2499" s="5" t="s">
        <v>2629</v>
      </c>
    </row>
    <row r="2500" spans="1:2" x14ac:dyDescent="0.35">
      <c r="A2500" s="4">
        <v>835300</v>
      </c>
      <c r="B2500" s="5" t="s">
        <v>2630</v>
      </c>
    </row>
    <row r="2501" spans="1:2" x14ac:dyDescent="0.35">
      <c r="A2501" s="4">
        <v>835400</v>
      </c>
      <c r="B2501" s="5" t="s">
        <v>2631</v>
      </c>
    </row>
    <row r="2502" spans="1:2" x14ac:dyDescent="0.35">
      <c r="A2502" s="4">
        <v>835500</v>
      </c>
      <c r="B2502" s="5" t="s">
        <v>2632</v>
      </c>
    </row>
    <row r="2503" spans="1:2" x14ac:dyDescent="0.35">
      <c r="A2503" s="4">
        <v>835600</v>
      </c>
      <c r="B2503" s="5" t="s">
        <v>2633</v>
      </c>
    </row>
    <row r="2504" spans="1:2" x14ac:dyDescent="0.35">
      <c r="A2504" s="4">
        <v>835900</v>
      </c>
      <c r="B2504" s="5" t="s">
        <v>2634</v>
      </c>
    </row>
    <row r="2505" spans="1:2" x14ac:dyDescent="0.35">
      <c r="A2505" s="4">
        <v>839200</v>
      </c>
      <c r="B2505" s="5" t="s">
        <v>2635</v>
      </c>
    </row>
    <row r="2506" spans="1:2" x14ac:dyDescent="0.35">
      <c r="A2506" s="4">
        <v>839300</v>
      </c>
      <c r="B2506" s="5" t="s">
        <v>2636</v>
      </c>
    </row>
    <row r="2507" spans="1:2" x14ac:dyDescent="0.35">
      <c r="A2507" s="4">
        <v>839400</v>
      </c>
      <c r="B2507" s="5" t="s">
        <v>2637</v>
      </c>
    </row>
    <row r="2508" spans="1:2" x14ac:dyDescent="0.35">
      <c r="A2508" s="4">
        <v>839500</v>
      </c>
      <c r="B2508" s="5" t="s">
        <v>2638</v>
      </c>
    </row>
    <row r="2509" spans="1:2" x14ac:dyDescent="0.35">
      <c r="A2509" s="4">
        <v>839600</v>
      </c>
      <c r="B2509" s="5" t="s">
        <v>2639</v>
      </c>
    </row>
    <row r="2510" spans="1:2" x14ac:dyDescent="0.35">
      <c r="A2510" s="4">
        <v>839900</v>
      </c>
      <c r="B2510" s="5" t="s">
        <v>2640</v>
      </c>
    </row>
    <row r="2511" spans="1:2" x14ac:dyDescent="0.35">
      <c r="A2511" s="4">
        <v>840000</v>
      </c>
      <c r="B2511" s="5" t="s">
        <v>2641</v>
      </c>
    </row>
    <row r="2512" spans="1:2" x14ac:dyDescent="0.35">
      <c r="A2512" s="4">
        <v>841100</v>
      </c>
      <c r="B2512" s="5" t="s">
        <v>2642</v>
      </c>
    </row>
    <row r="2513" spans="1:2" x14ac:dyDescent="0.35">
      <c r="A2513" s="4">
        <v>841120</v>
      </c>
      <c r="B2513" s="5" t="s">
        <v>2643</v>
      </c>
    </row>
    <row r="2514" spans="1:2" x14ac:dyDescent="0.35">
      <c r="A2514" s="4">
        <v>841140</v>
      </c>
      <c r="B2514" s="5" t="s">
        <v>2644</v>
      </c>
    </row>
    <row r="2515" spans="1:2" x14ac:dyDescent="0.35">
      <c r="A2515" s="4">
        <v>841160</v>
      </c>
      <c r="B2515" s="5" t="s">
        <v>2645</v>
      </c>
    </row>
    <row r="2516" spans="1:2" x14ac:dyDescent="0.35">
      <c r="A2516" s="4">
        <v>841180</v>
      </c>
      <c r="B2516" s="5" t="s">
        <v>2646</v>
      </c>
    </row>
    <row r="2517" spans="1:2" x14ac:dyDescent="0.35">
      <c r="A2517" s="4">
        <v>841200</v>
      </c>
      <c r="B2517" s="5" t="s">
        <v>2647</v>
      </c>
    </row>
    <row r="2518" spans="1:2" x14ac:dyDescent="0.35">
      <c r="A2518" s="4">
        <v>841220</v>
      </c>
      <c r="B2518" s="5" t="s">
        <v>2648</v>
      </c>
    </row>
    <row r="2519" spans="1:2" x14ac:dyDescent="0.35">
      <c r="A2519" s="4">
        <v>841240</v>
      </c>
      <c r="B2519" s="5" t="s">
        <v>2649</v>
      </c>
    </row>
    <row r="2520" spans="1:2" x14ac:dyDescent="0.35">
      <c r="A2520" s="4">
        <v>841260</v>
      </c>
      <c r="B2520" s="5" t="s">
        <v>2650</v>
      </c>
    </row>
    <row r="2521" spans="1:2" x14ac:dyDescent="0.35">
      <c r="A2521" s="4">
        <v>841280</v>
      </c>
      <c r="B2521" s="5" t="s">
        <v>2651</v>
      </c>
    </row>
    <row r="2522" spans="1:2" x14ac:dyDescent="0.35">
      <c r="A2522" s="4">
        <v>841300</v>
      </c>
      <c r="B2522" s="5" t="s">
        <v>2652</v>
      </c>
    </row>
    <row r="2523" spans="1:2" x14ac:dyDescent="0.35">
      <c r="A2523" s="4">
        <v>841320</v>
      </c>
      <c r="B2523" s="5" t="s">
        <v>2653</v>
      </c>
    </row>
    <row r="2524" spans="1:2" x14ac:dyDescent="0.35">
      <c r="A2524" s="4">
        <v>841340</v>
      </c>
      <c r="B2524" s="5" t="s">
        <v>2654</v>
      </c>
    </row>
    <row r="2525" spans="1:2" x14ac:dyDescent="0.35">
      <c r="A2525" s="4">
        <v>841360</v>
      </c>
      <c r="B2525" s="5" t="s">
        <v>2655</v>
      </c>
    </row>
    <row r="2526" spans="1:2" x14ac:dyDescent="0.35">
      <c r="A2526" s="4">
        <v>841380</v>
      </c>
      <c r="B2526" s="5" t="s">
        <v>2656</v>
      </c>
    </row>
    <row r="2527" spans="1:2" x14ac:dyDescent="0.35">
      <c r="A2527" s="4">
        <v>841400</v>
      </c>
      <c r="B2527" s="5" t="s">
        <v>2657</v>
      </c>
    </row>
    <row r="2528" spans="1:2" x14ac:dyDescent="0.35">
      <c r="A2528" s="4">
        <v>841420</v>
      </c>
      <c r="B2528" s="5" t="s">
        <v>2658</v>
      </c>
    </row>
    <row r="2529" spans="1:2" x14ac:dyDescent="0.35">
      <c r="A2529" s="4">
        <v>841440</v>
      </c>
      <c r="B2529" s="5" t="s">
        <v>2659</v>
      </c>
    </row>
    <row r="2530" spans="1:2" x14ac:dyDescent="0.35">
      <c r="A2530" s="4">
        <v>841460</v>
      </c>
      <c r="B2530" s="5" t="s">
        <v>2660</v>
      </c>
    </row>
    <row r="2531" spans="1:2" x14ac:dyDescent="0.35">
      <c r="A2531" s="4">
        <v>841480</v>
      </c>
      <c r="B2531" s="5" t="s">
        <v>2661</v>
      </c>
    </row>
    <row r="2532" spans="1:2" x14ac:dyDescent="0.35">
      <c r="A2532" s="4">
        <v>841500</v>
      </c>
      <c r="B2532" s="5" t="s">
        <v>2662</v>
      </c>
    </row>
    <row r="2533" spans="1:2" x14ac:dyDescent="0.35">
      <c r="A2533" s="4">
        <v>841900</v>
      </c>
      <c r="B2533" s="5" t="s">
        <v>2663</v>
      </c>
    </row>
    <row r="2534" spans="1:2" x14ac:dyDescent="0.35">
      <c r="A2534" s="4">
        <v>842000</v>
      </c>
      <c r="B2534" s="5" t="s">
        <v>2664</v>
      </c>
    </row>
    <row r="2535" spans="1:2" x14ac:dyDescent="0.35">
      <c r="A2535" s="4">
        <v>842010</v>
      </c>
      <c r="B2535" s="5" t="s">
        <v>2665</v>
      </c>
    </row>
    <row r="2536" spans="1:2" x14ac:dyDescent="0.35">
      <c r="A2536" s="4">
        <v>842100</v>
      </c>
      <c r="B2536" s="5" t="s">
        <v>2666</v>
      </c>
    </row>
    <row r="2537" spans="1:2" x14ac:dyDescent="0.35">
      <c r="A2537" s="4">
        <v>842150</v>
      </c>
      <c r="B2537" s="5" t="s">
        <v>2667</v>
      </c>
    </row>
    <row r="2538" spans="1:2" x14ac:dyDescent="0.35">
      <c r="A2538" s="4">
        <v>842200</v>
      </c>
      <c r="B2538" s="5" t="s">
        <v>2668</v>
      </c>
    </row>
    <row r="2539" spans="1:2" x14ac:dyDescent="0.35">
      <c r="A2539" s="4">
        <v>842250</v>
      </c>
      <c r="B2539" s="5" t="s">
        <v>2669</v>
      </c>
    </row>
    <row r="2540" spans="1:2" x14ac:dyDescent="0.35">
      <c r="A2540" s="4">
        <v>842300</v>
      </c>
      <c r="B2540" s="5" t="s">
        <v>2670</v>
      </c>
    </row>
    <row r="2541" spans="1:2" x14ac:dyDescent="0.35">
      <c r="A2541" s="4">
        <v>842350</v>
      </c>
      <c r="B2541" s="5" t="s">
        <v>2671</v>
      </c>
    </row>
    <row r="2542" spans="1:2" x14ac:dyDescent="0.35">
      <c r="A2542" s="4">
        <v>842400</v>
      </c>
      <c r="B2542" s="5" t="s">
        <v>2672</v>
      </c>
    </row>
    <row r="2543" spans="1:2" x14ac:dyDescent="0.35">
      <c r="A2543" s="4">
        <v>842450</v>
      </c>
      <c r="B2543" s="5" t="s">
        <v>2673</v>
      </c>
    </row>
    <row r="2544" spans="1:2" x14ac:dyDescent="0.35">
      <c r="A2544" s="4">
        <v>842500</v>
      </c>
      <c r="B2544" s="5" t="s">
        <v>2674</v>
      </c>
    </row>
    <row r="2545" spans="1:2" x14ac:dyDescent="0.35">
      <c r="A2545" s="4">
        <v>842550</v>
      </c>
      <c r="B2545" s="5" t="s">
        <v>2675</v>
      </c>
    </row>
    <row r="2546" spans="1:2" x14ac:dyDescent="0.35">
      <c r="A2546" s="4">
        <v>842600</v>
      </c>
      <c r="B2546" s="5" t="s">
        <v>2676</v>
      </c>
    </row>
    <row r="2547" spans="1:2" x14ac:dyDescent="0.35">
      <c r="A2547" s="4">
        <v>842650</v>
      </c>
      <c r="B2547" s="5" t="s">
        <v>2677</v>
      </c>
    </row>
    <row r="2548" spans="1:2" x14ac:dyDescent="0.35">
      <c r="A2548" s="4">
        <v>842900</v>
      </c>
      <c r="B2548" s="5" t="s">
        <v>2678</v>
      </c>
    </row>
    <row r="2549" spans="1:2" x14ac:dyDescent="0.35">
      <c r="A2549" s="4">
        <v>843200</v>
      </c>
      <c r="B2549" s="5" t="s">
        <v>2679</v>
      </c>
    </row>
    <row r="2550" spans="1:2" x14ac:dyDescent="0.35">
      <c r="A2550" s="4">
        <v>843300</v>
      </c>
      <c r="B2550" s="5" t="s">
        <v>2680</v>
      </c>
    </row>
    <row r="2551" spans="1:2" x14ac:dyDescent="0.35">
      <c r="A2551" s="4">
        <v>843310</v>
      </c>
      <c r="B2551" s="5" t="s">
        <v>2681</v>
      </c>
    </row>
    <row r="2552" spans="1:2" x14ac:dyDescent="0.35">
      <c r="A2552" s="4">
        <v>843400</v>
      </c>
      <c r="B2552" s="5" t="s">
        <v>2682</v>
      </c>
    </row>
    <row r="2553" spans="1:2" x14ac:dyDescent="0.35">
      <c r="A2553" s="4">
        <v>843500</v>
      </c>
      <c r="B2553" s="5" t="s">
        <v>2683</v>
      </c>
    </row>
    <row r="2554" spans="1:2" x14ac:dyDescent="0.35">
      <c r="A2554" s="4">
        <v>843600</v>
      </c>
      <c r="B2554" s="5" t="s">
        <v>2684</v>
      </c>
    </row>
    <row r="2555" spans="1:2" x14ac:dyDescent="0.35">
      <c r="A2555" s="4">
        <v>843700</v>
      </c>
      <c r="B2555" s="5" t="s">
        <v>2685</v>
      </c>
    </row>
    <row r="2556" spans="1:2" x14ac:dyDescent="0.35">
      <c r="A2556" s="4">
        <v>843800</v>
      </c>
      <c r="B2556" s="5" t="s">
        <v>2686</v>
      </c>
    </row>
    <row r="2557" spans="1:2" x14ac:dyDescent="0.35">
      <c r="A2557" s="4">
        <v>843900</v>
      </c>
      <c r="B2557" s="5" t="s">
        <v>2687</v>
      </c>
    </row>
    <row r="2558" spans="1:2" x14ac:dyDescent="0.35">
      <c r="A2558" s="4">
        <v>844100</v>
      </c>
      <c r="B2558" s="5" t="s">
        <v>2688</v>
      </c>
    </row>
    <row r="2559" spans="1:2" x14ac:dyDescent="0.35">
      <c r="A2559" s="4">
        <v>844300</v>
      </c>
      <c r="B2559" s="5" t="s">
        <v>2689</v>
      </c>
    </row>
    <row r="2560" spans="1:2" x14ac:dyDescent="0.35">
      <c r="A2560" s="4">
        <v>849100</v>
      </c>
      <c r="B2560" s="5" t="s">
        <v>2690</v>
      </c>
    </row>
    <row r="2561" spans="1:2" x14ac:dyDescent="0.35">
      <c r="A2561" s="4">
        <v>849170</v>
      </c>
      <c r="B2561" s="5" t="s">
        <v>2691</v>
      </c>
    </row>
    <row r="2562" spans="1:2" x14ac:dyDescent="0.35">
      <c r="A2562" s="4">
        <v>849180</v>
      </c>
      <c r="B2562" s="5" t="s">
        <v>2692</v>
      </c>
    </row>
    <row r="2563" spans="1:2" x14ac:dyDescent="0.35">
      <c r="A2563" s="4">
        <v>849190</v>
      </c>
      <c r="B2563" s="5" t="s">
        <v>2693</v>
      </c>
    </row>
    <row r="2564" spans="1:2" x14ac:dyDescent="0.35">
      <c r="A2564" s="4">
        <v>849200</v>
      </c>
      <c r="B2564" s="5" t="s">
        <v>2694</v>
      </c>
    </row>
    <row r="2565" spans="1:2" x14ac:dyDescent="0.35">
      <c r="A2565" s="4">
        <v>849300</v>
      </c>
      <c r="B2565" s="5" t="s">
        <v>2695</v>
      </c>
    </row>
    <row r="2566" spans="1:2" x14ac:dyDescent="0.35">
      <c r="A2566" s="4">
        <v>849400</v>
      </c>
      <c r="B2566" s="5" t="s">
        <v>2696</v>
      </c>
    </row>
    <row r="2567" spans="1:2" x14ac:dyDescent="0.35">
      <c r="A2567" s="4">
        <v>849500</v>
      </c>
      <c r="B2567" s="5" t="s">
        <v>2697</v>
      </c>
    </row>
    <row r="2568" spans="1:2" x14ac:dyDescent="0.35">
      <c r="A2568" s="4">
        <v>849900</v>
      </c>
      <c r="B2568" s="5" t="s">
        <v>2698</v>
      </c>
    </row>
    <row r="2569" spans="1:2" x14ac:dyDescent="0.35">
      <c r="A2569" s="4">
        <v>850000</v>
      </c>
      <c r="B2569" s="5" t="s">
        <v>2699</v>
      </c>
    </row>
    <row r="2570" spans="1:2" x14ac:dyDescent="0.35">
      <c r="A2570" s="4">
        <v>851000</v>
      </c>
      <c r="B2570" s="5" t="s">
        <v>2700</v>
      </c>
    </row>
    <row r="2571" spans="1:2" x14ac:dyDescent="0.35">
      <c r="A2571" s="4">
        <v>851100</v>
      </c>
      <c r="B2571" s="5" t="s">
        <v>2701</v>
      </c>
    </row>
    <row r="2572" spans="1:2" x14ac:dyDescent="0.35">
      <c r="A2572" s="4">
        <v>851150</v>
      </c>
      <c r="B2572" s="5" t="s">
        <v>2702</v>
      </c>
    </row>
    <row r="2573" spans="1:2" x14ac:dyDescent="0.35">
      <c r="A2573" s="4">
        <v>851200</v>
      </c>
      <c r="B2573" s="5" t="s">
        <v>2703</v>
      </c>
    </row>
    <row r="2574" spans="1:2" x14ac:dyDescent="0.35">
      <c r="A2574" s="4">
        <v>851250</v>
      </c>
      <c r="B2574" s="5" t="s">
        <v>2704</v>
      </c>
    </row>
    <row r="2575" spans="1:2" x14ac:dyDescent="0.35">
      <c r="A2575" s="4">
        <v>851300</v>
      </c>
      <c r="B2575" s="5" t="s">
        <v>2705</v>
      </c>
    </row>
    <row r="2576" spans="1:2" x14ac:dyDescent="0.35">
      <c r="A2576" s="4">
        <v>851350</v>
      </c>
      <c r="B2576" s="5" t="s">
        <v>2706</v>
      </c>
    </row>
    <row r="2577" spans="1:2" x14ac:dyDescent="0.35">
      <c r="A2577" s="4">
        <v>851400</v>
      </c>
      <c r="B2577" s="5" t="s">
        <v>2707</v>
      </c>
    </row>
    <row r="2578" spans="1:2" x14ac:dyDescent="0.35">
      <c r="A2578" s="4">
        <v>851450</v>
      </c>
      <c r="B2578" s="5" t="s">
        <v>2708</v>
      </c>
    </row>
    <row r="2579" spans="1:2" x14ac:dyDescent="0.35">
      <c r="A2579" s="4">
        <v>851500</v>
      </c>
      <c r="B2579" s="5" t="s">
        <v>2709</v>
      </c>
    </row>
    <row r="2580" spans="1:2" x14ac:dyDescent="0.35">
      <c r="A2580" s="4">
        <v>851510</v>
      </c>
      <c r="B2580" s="5" t="s">
        <v>2710</v>
      </c>
    </row>
    <row r="2581" spans="1:2" x14ac:dyDescent="0.35">
      <c r="A2581" s="4">
        <v>851550</v>
      </c>
      <c r="B2581" s="5" t="s">
        <v>2711</v>
      </c>
    </row>
    <row r="2582" spans="1:2" x14ac:dyDescent="0.35">
      <c r="A2582" s="4">
        <v>851600</v>
      </c>
      <c r="B2582" s="5" t="s">
        <v>2712</v>
      </c>
    </row>
    <row r="2583" spans="1:2" x14ac:dyDescent="0.35">
      <c r="A2583" s="4">
        <v>851650</v>
      </c>
      <c r="B2583" s="5" t="s">
        <v>2713</v>
      </c>
    </row>
    <row r="2584" spans="1:2" x14ac:dyDescent="0.35">
      <c r="A2584" s="4">
        <v>851700</v>
      </c>
      <c r="B2584" s="5" t="s">
        <v>2714</v>
      </c>
    </row>
    <row r="2585" spans="1:2" x14ac:dyDescent="0.35">
      <c r="A2585" s="4">
        <v>851800</v>
      </c>
      <c r="B2585" s="5" t="s">
        <v>2715</v>
      </c>
    </row>
    <row r="2586" spans="1:2" x14ac:dyDescent="0.35">
      <c r="A2586" s="4">
        <v>851900</v>
      </c>
      <c r="B2586" s="5" t="s">
        <v>2716</v>
      </c>
    </row>
    <row r="2587" spans="1:2" x14ac:dyDescent="0.35">
      <c r="A2587" s="4">
        <v>852100</v>
      </c>
      <c r="B2587" s="5" t="s">
        <v>2717</v>
      </c>
    </row>
    <row r="2588" spans="1:2" x14ac:dyDescent="0.35">
      <c r="A2588" s="4">
        <v>852200</v>
      </c>
      <c r="B2588" s="5" t="s">
        <v>2718</v>
      </c>
    </row>
    <row r="2589" spans="1:2" x14ac:dyDescent="0.35">
      <c r="A2589" s="4">
        <v>852300</v>
      </c>
      <c r="B2589" s="5" t="s">
        <v>2719</v>
      </c>
    </row>
    <row r="2590" spans="1:2" x14ac:dyDescent="0.35">
      <c r="A2590" s="4">
        <v>852310</v>
      </c>
      <c r="B2590" s="5" t="s">
        <v>2720</v>
      </c>
    </row>
    <row r="2591" spans="1:2" x14ac:dyDescent="0.35">
      <c r="A2591" s="4">
        <v>852400</v>
      </c>
      <c r="B2591" s="5" t="s">
        <v>2721</v>
      </c>
    </row>
    <row r="2592" spans="1:2" x14ac:dyDescent="0.35">
      <c r="A2592" s="4">
        <v>852500</v>
      </c>
      <c r="B2592" s="5" t="s">
        <v>2722</v>
      </c>
    </row>
    <row r="2593" spans="1:2" x14ac:dyDescent="0.35">
      <c r="A2593" s="4">
        <v>852600</v>
      </c>
      <c r="B2593" s="5" t="s">
        <v>2723</v>
      </c>
    </row>
    <row r="2594" spans="1:2" x14ac:dyDescent="0.35">
      <c r="A2594" s="4">
        <v>852700</v>
      </c>
      <c r="B2594" s="5" t="s">
        <v>2724</v>
      </c>
    </row>
    <row r="2595" spans="1:2" x14ac:dyDescent="0.35">
      <c r="A2595" s="4">
        <v>852900</v>
      </c>
      <c r="B2595" s="5" t="s">
        <v>2725</v>
      </c>
    </row>
    <row r="2596" spans="1:2" x14ac:dyDescent="0.35">
      <c r="A2596" s="4">
        <v>853200</v>
      </c>
      <c r="B2596" s="5" t="s">
        <v>2726</v>
      </c>
    </row>
    <row r="2597" spans="1:2" x14ac:dyDescent="0.35">
      <c r="A2597" s="4">
        <v>853300</v>
      </c>
      <c r="B2597" s="5" t="s">
        <v>2727</v>
      </c>
    </row>
    <row r="2598" spans="1:2" x14ac:dyDescent="0.35">
      <c r="A2598" s="4">
        <v>853400</v>
      </c>
      <c r="B2598" s="5" t="s">
        <v>2728</v>
      </c>
    </row>
    <row r="2599" spans="1:2" x14ac:dyDescent="0.35">
      <c r="A2599" s="4">
        <v>853410</v>
      </c>
      <c r="B2599" s="5" t="s">
        <v>2729</v>
      </c>
    </row>
    <row r="2600" spans="1:2" x14ac:dyDescent="0.35">
      <c r="A2600" s="4">
        <v>853500</v>
      </c>
      <c r="B2600" s="5" t="s">
        <v>2730</v>
      </c>
    </row>
    <row r="2601" spans="1:2" x14ac:dyDescent="0.35">
      <c r="A2601" s="4">
        <v>853600</v>
      </c>
      <c r="B2601" s="5" t="s">
        <v>2731</v>
      </c>
    </row>
    <row r="2602" spans="1:2" x14ac:dyDescent="0.35">
      <c r="A2602" s="4">
        <v>853900</v>
      </c>
      <c r="B2602" s="5" t="s">
        <v>2732</v>
      </c>
    </row>
    <row r="2603" spans="1:2" x14ac:dyDescent="0.35">
      <c r="A2603" s="4">
        <v>854200</v>
      </c>
      <c r="B2603" s="5" t="s">
        <v>2733</v>
      </c>
    </row>
    <row r="2604" spans="1:2" x14ac:dyDescent="0.35">
      <c r="A2604" s="4">
        <v>854400</v>
      </c>
      <c r="B2604" s="5" t="s">
        <v>2734</v>
      </c>
    </row>
    <row r="2605" spans="1:2" x14ac:dyDescent="0.35">
      <c r="A2605" s="4">
        <v>854900</v>
      </c>
      <c r="B2605" s="5" t="s">
        <v>2735</v>
      </c>
    </row>
    <row r="2606" spans="1:2" x14ac:dyDescent="0.35">
      <c r="A2606" s="4">
        <v>855100</v>
      </c>
      <c r="B2606" s="5" t="s">
        <v>2736</v>
      </c>
    </row>
    <row r="2607" spans="1:2" x14ac:dyDescent="0.35">
      <c r="A2607" s="4">
        <v>855200</v>
      </c>
      <c r="B2607" s="5" t="s">
        <v>2737</v>
      </c>
    </row>
    <row r="2608" spans="1:2" x14ac:dyDescent="0.35">
      <c r="A2608" s="4">
        <v>855300</v>
      </c>
      <c r="B2608" s="5" t="s">
        <v>2738</v>
      </c>
    </row>
    <row r="2609" spans="1:2" x14ac:dyDescent="0.35">
      <c r="A2609" s="4">
        <v>855400</v>
      </c>
      <c r="B2609" s="5" t="s">
        <v>2739</v>
      </c>
    </row>
    <row r="2610" spans="1:2" x14ac:dyDescent="0.35">
      <c r="A2610" s="4">
        <v>855500</v>
      </c>
      <c r="B2610" s="5" t="s">
        <v>2740</v>
      </c>
    </row>
    <row r="2611" spans="1:2" x14ac:dyDescent="0.35">
      <c r="A2611" s="4">
        <v>855600</v>
      </c>
      <c r="B2611" s="5" t="s">
        <v>2741</v>
      </c>
    </row>
    <row r="2612" spans="1:2" x14ac:dyDescent="0.35">
      <c r="A2612" s="4">
        <v>855900</v>
      </c>
      <c r="B2612" s="5" t="s">
        <v>2742</v>
      </c>
    </row>
    <row r="2613" spans="1:2" x14ac:dyDescent="0.35">
      <c r="A2613" s="4">
        <v>856200</v>
      </c>
      <c r="B2613" s="5" t="s">
        <v>2743</v>
      </c>
    </row>
    <row r="2614" spans="1:2" x14ac:dyDescent="0.35">
      <c r="A2614" s="4">
        <v>856300</v>
      </c>
      <c r="B2614" s="5" t="s">
        <v>2744</v>
      </c>
    </row>
    <row r="2615" spans="1:2" x14ac:dyDescent="0.35">
      <c r="A2615" s="4">
        <v>856400</v>
      </c>
      <c r="B2615" s="5" t="s">
        <v>2745</v>
      </c>
    </row>
    <row r="2616" spans="1:2" x14ac:dyDescent="0.35">
      <c r="A2616" s="4">
        <v>856500</v>
      </c>
      <c r="B2616" s="5" t="s">
        <v>2746</v>
      </c>
    </row>
    <row r="2617" spans="1:2" x14ac:dyDescent="0.35">
      <c r="A2617" s="4">
        <v>857200</v>
      </c>
      <c r="B2617" s="5" t="s">
        <v>2747</v>
      </c>
    </row>
    <row r="2618" spans="1:2" x14ac:dyDescent="0.35">
      <c r="A2618" s="4">
        <v>857300</v>
      </c>
      <c r="B2618" s="5" t="s">
        <v>2748</v>
      </c>
    </row>
    <row r="2619" spans="1:2" x14ac:dyDescent="0.35">
      <c r="A2619" s="4">
        <v>857400</v>
      </c>
      <c r="B2619" s="5" t="s">
        <v>2749</v>
      </c>
    </row>
    <row r="2620" spans="1:2" x14ac:dyDescent="0.35">
      <c r="A2620" s="4">
        <v>857500</v>
      </c>
      <c r="B2620" s="5" t="s">
        <v>2750</v>
      </c>
    </row>
    <row r="2621" spans="1:2" x14ac:dyDescent="0.35">
      <c r="A2621" s="4">
        <v>857600</v>
      </c>
      <c r="B2621" s="5" t="s">
        <v>2751</v>
      </c>
    </row>
    <row r="2622" spans="1:2" x14ac:dyDescent="0.35">
      <c r="A2622" s="4">
        <v>857900</v>
      </c>
      <c r="B2622" s="5" t="s">
        <v>2752</v>
      </c>
    </row>
    <row r="2623" spans="1:2" x14ac:dyDescent="0.35">
      <c r="A2623" s="4">
        <v>859200</v>
      </c>
      <c r="B2623" s="5" t="s">
        <v>2753</v>
      </c>
    </row>
    <row r="2624" spans="1:2" x14ac:dyDescent="0.35">
      <c r="A2624" s="4">
        <v>859400</v>
      </c>
      <c r="B2624" s="5" t="s">
        <v>2754</v>
      </c>
    </row>
    <row r="2625" spans="1:2" x14ac:dyDescent="0.35">
      <c r="A2625" s="4">
        <v>859900</v>
      </c>
      <c r="B2625" s="5" t="s">
        <v>2755</v>
      </c>
    </row>
    <row r="2626" spans="1:2" x14ac:dyDescent="0.35">
      <c r="A2626" s="4">
        <v>861200</v>
      </c>
      <c r="B2626" s="5" t="s">
        <v>2756</v>
      </c>
    </row>
    <row r="2627" spans="1:2" x14ac:dyDescent="0.35">
      <c r="A2627" s="4">
        <v>861300</v>
      </c>
      <c r="B2627" s="5" t="s">
        <v>2757</v>
      </c>
    </row>
    <row r="2628" spans="1:2" x14ac:dyDescent="0.35">
      <c r="A2628" s="4">
        <v>861400</v>
      </c>
      <c r="B2628" s="5" t="s">
        <v>2758</v>
      </c>
    </row>
    <row r="2629" spans="1:2" x14ac:dyDescent="0.35">
      <c r="A2629" s="4">
        <v>861900</v>
      </c>
      <c r="B2629" s="5" t="s">
        <v>2759</v>
      </c>
    </row>
    <row r="2630" spans="1:2" x14ac:dyDescent="0.35">
      <c r="A2630" s="4">
        <v>862200</v>
      </c>
      <c r="B2630" s="5" t="s">
        <v>2760</v>
      </c>
    </row>
    <row r="2631" spans="1:2" x14ac:dyDescent="0.35">
      <c r="A2631" s="4">
        <v>862300</v>
      </c>
      <c r="B2631" s="5" t="s">
        <v>2761</v>
      </c>
    </row>
    <row r="2632" spans="1:2" x14ac:dyDescent="0.35">
      <c r="A2632" s="4">
        <v>862400</v>
      </c>
      <c r="B2632" s="5" t="s">
        <v>2762</v>
      </c>
    </row>
    <row r="2633" spans="1:2" x14ac:dyDescent="0.35">
      <c r="A2633" s="4">
        <v>862900</v>
      </c>
      <c r="B2633" s="5" t="s">
        <v>2763</v>
      </c>
    </row>
    <row r="2634" spans="1:2" x14ac:dyDescent="0.35">
      <c r="A2634" s="4">
        <v>871200</v>
      </c>
      <c r="B2634" s="5" t="s">
        <v>2764</v>
      </c>
    </row>
    <row r="2635" spans="1:2" x14ac:dyDescent="0.35">
      <c r="A2635" s="4">
        <v>871300</v>
      </c>
      <c r="B2635" s="5" t="s">
        <v>2765</v>
      </c>
    </row>
    <row r="2636" spans="1:2" x14ac:dyDescent="0.35">
      <c r="A2636" s="4">
        <v>871400</v>
      </c>
      <c r="B2636" s="5" t="s">
        <v>2766</v>
      </c>
    </row>
    <row r="2637" spans="1:2" x14ac:dyDescent="0.35">
      <c r="A2637" s="4">
        <v>871500</v>
      </c>
      <c r="B2637" s="5" t="s">
        <v>2767</v>
      </c>
    </row>
    <row r="2638" spans="1:2" x14ac:dyDescent="0.35">
      <c r="A2638" s="4">
        <v>871600</v>
      </c>
      <c r="B2638" s="5" t="s">
        <v>2768</v>
      </c>
    </row>
    <row r="2639" spans="1:2" x14ac:dyDescent="0.35">
      <c r="A2639" s="4">
        <v>871900</v>
      </c>
      <c r="B2639" s="5" t="s">
        <v>2769</v>
      </c>
    </row>
    <row r="2640" spans="1:2" x14ac:dyDescent="0.35">
      <c r="A2640" s="4">
        <v>871910</v>
      </c>
      <c r="B2640" s="5" t="s">
        <v>2770</v>
      </c>
    </row>
    <row r="2641" spans="1:2" x14ac:dyDescent="0.35">
      <c r="A2641" s="4">
        <v>872000</v>
      </c>
      <c r="B2641" s="5" t="s">
        <v>2771</v>
      </c>
    </row>
    <row r="2642" spans="1:2" x14ac:dyDescent="0.35">
      <c r="A2642" s="4">
        <v>872100</v>
      </c>
      <c r="B2642" s="5" t="s">
        <v>2772</v>
      </c>
    </row>
    <row r="2643" spans="1:2" x14ac:dyDescent="0.35">
      <c r="A2643" s="4">
        <v>872150</v>
      </c>
      <c r="B2643" s="5" t="s">
        <v>2773</v>
      </c>
    </row>
    <row r="2644" spans="1:2" x14ac:dyDescent="0.35">
      <c r="A2644" s="4">
        <v>872200</v>
      </c>
      <c r="B2644" s="5" t="s">
        <v>2774</v>
      </c>
    </row>
    <row r="2645" spans="1:2" x14ac:dyDescent="0.35">
      <c r="A2645" s="4">
        <v>872250</v>
      </c>
      <c r="B2645" s="5" t="s">
        <v>2775</v>
      </c>
    </row>
    <row r="2646" spans="1:2" x14ac:dyDescent="0.35">
      <c r="A2646" s="4">
        <v>872300</v>
      </c>
      <c r="B2646" s="5" t="s">
        <v>2776</v>
      </c>
    </row>
    <row r="2647" spans="1:2" x14ac:dyDescent="0.35">
      <c r="A2647" s="4">
        <v>872350</v>
      </c>
      <c r="B2647" s="5" t="s">
        <v>2777</v>
      </c>
    </row>
    <row r="2648" spans="1:2" x14ac:dyDescent="0.35">
      <c r="A2648" s="4">
        <v>872400</v>
      </c>
      <c r="B2648" s="5" t="s">
        <v>2778</v>
      </c>
    </row>
    <row r="2649" spans="1:2" x14ac:dyDescent="0.35">
      <c r="A2649" s="4">
        <v>872450</v>
      </c>
      <c r="B2649" s="5" t="s">
        <v>2779</v>
      </c>
    </row>
    <row r="2650" spans="1:2" x14ac:dyDescent="0.35">
      <c r="A2650" s="4">
        <v>872460</v>
      </c>
      <c r="B2650" s="5" t="s">
        <v>2780</v>
      </c>
    </row>
    <row r="2651" spans="1:2" x14ac:dyDescent="0.35">
      <c r="A2651" s="4">
        <v>872500</v>
      </c>
      <c r="B2651" s="5" t="s">
        <v>2781</v>
      </c>
    </row>
    <row r="2652" spans="1:2" x14ac:dyDescent="0.35">
      <c r="A2652" s="4">
        <v>872900</v>
      </c>
      <c r="B2652" s="5" t="s">
        <v>2782</v>
      </c>
    </row>
    <row r="2653" spans="1:2" x14ac:dyDescent="0.35">
      <c r="A2653" s="4">
        <v>873000</v>
      </c>
      <c r="B2653" s="5" t="s">
        <v>2783</v>
      </c>
    </row>
    <row r="2654" spans="1:2" x14ac:dyDescent="0.35">
      <c r="A2654" s="4">
        <v>873100</v>
      </c>
      <c r="B2654" s="5" t="s">
        <v>2784</v>
      </c>
    </row>
    <row r="2655" spans="1:2" x14ac:dyDescent="0.35">
      <c r="A2655" s="4">
        <v>873200</v>
      </c>
      <c r="B2655" s="5" t="s">
        <v>2785</v>
      </c>
    </row>
    <row r="2656" spans="1:2" x14ac:dyDescent="0.35">
      <c r="A2656" s="4">
        <v>873210</v>
      </c>
      <c r="B2656" s="5" t="s">
        <v>2786</v>
      </c>
    </row>
    <row r="2657" spans="1:2" x14ac:dyDescent="0.35">
      <c r="A2657" s="4">
        <v>873300</v>
      </c>
      <c r="B2657" s="5" t="s">
        <v>2787</v>
      </c>
    </row>
    <row r="2658" spans="1:2" x14ac:dyDescent="0.35">
      <c r="A2658" s="4">
        <v>873400</v>
      </c>
      <c r="B2658" s="5" t="s">
        <v>2788</v>
      </c>
    </row>
    <row r="2659" spans="1:2" x14ac:dyDescent="0.35">
      <c r="A2659" s="4">
        <v>873500</v>
      </c>
      <c r="B2659" s="5" t="s">
        <v>2789</v>
      </c>
    </row>
    <row r="2660" spans="1:2" x14ac:dyDescent="0.35">
      <c r="A2660" s="4">
        <v>873600</v>
      </c>
      <c r="B2660" s="5" t="s">
        <v>2790</v>
      </c>
    </row>
    <row r="2661" spans="1:2" x14ac:dyDescent="0.35">
      <c r="A2661" s="4">
        <v>873700</v>
      </c>
      <c r="B2661" s="5" t="s">
        <v>2791</v>
      </c>
    </row>
    <row r="2662" spans="1:2" x14ac:dyDescent="0.35">
      <c r="A2662" s="4">
        <v>873900</v>
      </c>
      <c r="B2662" s="5" t="s">
        <v>2792</v>
      </c>
    </row>
    <row r="2663" spans="1:2" x14ac:dyDescent="0.35">
      <c r="A2663" s="4">
        <v>874150</v>
      </c>
      <c r="B2663" s="5" t="s">
        <v>2793</v>
      </c>
    </row>
    <row r="2664" spans="1:2" x14ac:dyDescent="0.35">
      <c r="A2664" s="4">
        <v>874200</v>
      </c>
      <c r="B2664" s="5" t="s">
        <v>2794</v>
      </c>
    </row>
    <row r="2665" spans="1:2" x14ac:dyDescent="0.35">
      <c r="A2665" s="4">
        <v>874250</v>
      </c>
      <c r="B2665" s="5" t="s">
        <v>2795</v>
      </c>
    </row>
    <row r="2666" spans="1:2" x14ac:dyDescent="0.35">
      <c r="A2666" s="4">
        <v>874290</v>
      </c>
      <c r="B2666" s="5" t="s">
        <v>2796</v>
      </c>
    </row>
    <row r="2667" spans="1:2" x14ac:dyDescent="0.35">
      <c r="A2667" s="4">
        <v>874300</v>
      </c>
      <c r="B2667" s="5" t="s">
        <v>2797</v>
      </c>
    </row>
    <row r="2668" spans="1:2" x14ac:dyDescent="0.35">
      <c r="A2668" s="4">
        <v>874350</v>
      </c>
      <c r="B2668" s="5" t="s">
        <v>2798</v>
      </c>
    </row>
    <row r="2669" spans="1:2" x14ac:dyDescent="0.35">
      <c r="A2669" s="4">
        <v>874400</v>
      </c>
      <c r="B2669" s="5" t="s">
        <v>2799</v>
      </c>
    </row>
    <row r="2670" spans="1:2" x14ac:dyDescent="0.35">
      <c r="A2670" s="4">
        <v>874410</v>
      </c>
      <c r="B2670" s="5" t="s">
        <v>2800</v>
      </c>
    </row>
    <row r="2671" spans="1:2" x14ac:dyDescent="0.35">
      <c r="A2671" s="4">
        <v>874450</v>
      </c>
      <c r="B2671" s="5" t="s">
        <v>2801</v>
      </c>
    </row>
    <row r="2672" spans="1:2" x14ac:dyDescent="0.35">
      <c r="A2672" s="4">
        <v>874500</v>
      </c>
      <c r="B2672" s="5" t="s">
        <v>2802</v>
      </c>
    </row>
    <row r="2673" spans="1:2" x14ac:dyDescent="0.35">
      <c r="A2673" s="4">
        <v>874550</v>
      </c>
      <c r="B2673" s="5" t="s">
        <v>2803</v>
      </c>
    </row>
    <row r="2674" spans="1:2" x14ac:dyDescent="0.35">
      <c r="A2674" s="4">
        <v>874900</v>
      </c>
      <c r="B2674" s="5" t="s">
        <v>2804</v>
      </c>
    </row>
    <row r="2675" spans="1:2" x14ac:dyDescent="0.35">
      <c r="A2675" s="4">
        <v>880100</v>
      </c>
      <c r="B2675" s="5" t="s">
        <v>2805</v>
      </c>
    </row>
    <row r="2676" spans="1:2" x14ac:dyDescent="0.35">
      <c r="A2676" s="4">
        <v>880200</v>
      </c>
      <c r="B2676" s="5" t="s">
        <v>2806</v>
      </c>
    </row>
    <row r="2677" spans="1:2" x14ac:dyDescent="0.35">
      <c r="A2677" s="4">
        <v>880300</v>
      </c>
      <c r="B2677" s="5" t="s">
        <v>2807</v>
      </c>
    </row>
    <row r="2678" spans="1:2" x14ac:dyDescent="0.35">
      <c r="A2678" s="4">
        <v>880400</v>
      </c>
      <c r="B2678" s="5" t="s">
        <v>2808</v>
      </c>
    </row>
    <row r="2679" spans="1:2" x14ac:dyDescent="0.35">
      <c r="A2679" s="4">
        <v>880500</v>
      </c>
      <c r="B2679" s="5" t="s">
        <v>2809</v>
      </c>
    </row>
    <row r="2680" spans="1:2" x14ac:dyDescent="0.35">
      <c r="A2680" s="4">
        <v>880600</v>
      </c>
      <c r="B2680" s="5" t="s">
        <v>2810</v>
      </c>
    </row>
    <row r="2681" spans="1:2" x14ac:dyDescent="0.35">
      <c r="A2681" s="4">
        <v>880700</v>
      </c>
      <c r="B2681" s="5" t="s">
        <v>2811</v>
      </c>
    </row>
    <row r="2682" spans="1:2" x14ac:dyDescent="0.35">
      <c r="A2682" s="4">
        <v>880800</v>
      </c>
      <c r="B2682" s="5" t="s">
        <v>2812</v>
      </c>
    </row>
    <row r="2683" spans="1:2" x14ac:dyDescent="0.35">
      <c r="A2683" s="4">
        <v>880900</v>
      </c>
      <c r="B2683" s="5" t="s">
        <v>2813</v>
      </c>
    </row>
    <row r="2684" spans="1:2" x14ac:dyDescent="0.35">
      <c r="A2684" s="4">
        <v>891200</v>
      </c>
      <c r="B2684" s="5" t="s">
        <v>2814</v>
      </c>
    </row>
    <row r="2685" spans="1:2" x14ac:dyDescent="0.35">
      <c r="A2685" s="4">
        <v>891220</v>
      </c>
      <c r="B2685" s="5" t="s">
        <v>2815</v>
      </c>
    </row>
    <row r="2686" spans="1:2" x14ac:dyDescent="0.35">
      <c r="A2686" s="4">
        <v>891240</v>
      </c>
      <c r="B2686" s="5" t="s">
        <v>2816</v>
      </c>
    </row>
    <row r="2687" spans="1:2" x14ac:dyDescent="0.35">
      <c r="A2687" s="4">
        <v>891260</v>
      </c>
      <c r="B2687" s="5" t="s">
        <v>2817</v>
      </c>
    </row>
    <row r="2688" spans="1:2" x14ac:dyDescent="0.35">
      <c r="A2688" s="4">
        <v>891280</v>
      </c>
      <c r="B2688" s="5" t="s">
        <v>2818</v>
      </c>
    </row>
    <row r="2689" spans="1:2" x14ac:dyDescent="0.35">
      <c r="A2689" s="4">
        <v>891300</v>
      </c>
      <c r="B2689" s="5" t="s">
        <v>2819</v>
      </c>
    </row>
    <row r="2690" spans="1:2" x14ac:dyDescent="0.35">
      <c r="A2690" s="4">
        <v>891320</v>
      </c>
      <c r="B2690" s="5" t="s">
        <v>2820</v>
      </c>
    </row>
    <row r="2691" spans="1:2" x14ac:dyDescent="0.35">
      <c r="A2691" s="4">
        <v>891340</v>
      </c>
      <c r="B2691" s="5" t="s">
        <v>2821</v>
      </c>
    </row>
    <row r="2692" spans="1:2" x14ac:dyDescent="0.35">
      <c r="A2692" s="4">
        <v>891360</v>
      </c>
      <c r="B2692" s="5" t="s">
        <v>2822</v>
      </c>
    </row>
    <row r="2693" spans="1:2" x14ac:dyDescent="0.35">
      <c r="A2693" s="4">
        <v>891380</v>
      </c>
      <c r="B2693" s="5" t="s">
        <v>2823</v>
      </c>
    </row>
    <row r="2694" spans="1:2" x14ac:dyDescent="0.35">
      <c r="A2694" s="4">
        <v>891400</v>
      </c>
      <c r="B2694" s="5" t="s">
        <v>2824</v>
      </c>
    </row>
    <row r="2695" spans="1:2" x14ac:dyDescent="0.35">
      <c r="A2695" s="4">
        <v>891420</v>
      </c>
      <c r="B2695" s="5" t="s">
        <v>2825</v>
      </c>
    </row>
    <row r="2696" spans="1:2" x14ac:dyDescent="0.35">
      <c r="A2696" s="4">
        <v>891440</v>
      </c>
      <c r="B2696" s="5" t="s">
        <v>2826</v>
      </c>
    </row>
    <row r="2697" spans="1:2" x14ac:dyDescent="0.35">
      <c r="A2697" s="4">
        <v>891460</v>
      </c>
      <c r="B2697" s="5" t="s">
        <v>2827</v>
      </c>
    </row>
    <row r="2698" spans="1:2" x14ac:dyDescent="0.35">
      <c r="A2698" s="4">
        <v>891480</v>
      </c>
      <c r="B2698" s="5" t="s">
        <v>2828</v>
      </c>
    </row>
    <row r="2699" spans="1:2" x14ac:dyDescent="0.35">
      <c r="A2699" s="4">
        <v>891500</v>
      </c>
      <c r="B2699" s="5" t="s">
        <v>2829</v>
      </c>
    </row>
    <row r="2700" spans="1:2" x14ac:dyDescent="0.35">
      <c r="A2700" s="4">
        <v>891520</v>
      </c>
      <c r="B2700" s="5" t="s">
        <v>2830</v>
      </c>
    </row>
    <row r="2701" spans="1:2" x14ac:dyDescent="0.35">
      <c r="A2701" s="4">
        <v>891540</v>
      </c>
      <c r="B2701" s="5" t="s">
        <v>2831</v>
      </c>
    </row>
    <row r="2702" spans="1:2" x14ac:dyDescent="0.35">
      <c r="A2702" s="4">
        <v>891900</v>
      </c>
      <c r="B2702" s="5" t="s">
        <v>2832</v>
      </c>
    </row>
    <row r="2703" spans="1:2" x14ac:dyDescent="0.35">
      <c r="A2703" s="4">
        <v>892100</v>
      </c>
      <c r="B2703" s="5" t="s">
        <v>2833</v>
      </c>
    </row>
    <row r="2704" spans="1:2" x14ac:dyDescent="0.35">
      <c r="A2704" s="4">
        <v>892150</v>
      </c>
      <c r="B2704" s="5" t="s">
        <v>2834</v>
      </c>
    </row>
    <row r="2705" spans="1:2" x14ac:dyDescent="0.35">
      <c r="A2705" s="4">
        <v>892160</v>
      </c>
      <c r="B2705" s="5" t="s">
        <v>2835</v>
      </c>
    </row>
    <row r="2706" spans="1:2" x14ac:dyDescent="0.35">
      <c r="A2706" s="4">
        <v>892200</v>
      </c>
      <c r="B2706" s="5" t="s">
        <v>2836</v>
      </c>
    </row>
    <row r="2707" spans="1:2" x14ac:dyDescent="0.35">
      <c r="A2707" s="4">
        <v>892250</v>
      </c>
      <c r="B2707" s="5" t="s">
        <v>2837</v>
      </c>
    </row>
    <row r="2708" spans="1:2" x14ac:dyDescent="0.35">
      <c r="A2708" s="4">
        <v>892300</v>
      </c>
      <c r="B2708" s="5" t="s">
        <v>2838</v>
      </c>
    </row>
    <row r="2709" spans="1:2" x14ac:dyDescent="0.35">
      <c r="A2709" s="4">
        <v>892350</v>
      </c>
      <c r="B2709" s="5" t="s">
        <v>2839</v>
      </c>
    </row>
    <row r="2710" spans="1:2" x14ac:dyDescent="0.35">
      <c r="A2710" s="4">
        <v>892400</v>
      </c>
      <c r="B2710" s="5" t="s">
        <v>2840</v>
      </c>
    </row>
    <row r="2711" spans="1:2" x14ac:dyDescent="0.35">
      <c r="A2711" s="4">
        <v>892450</v>
      </c>
      <c r="B2711" s="5" t="s">
        <v>2841</v>
      </c>
    </row>
    <row r="2712" spans="1:2" x14ac:dyDescent="0.35">
      <c r="A2712" s="4">
        <v>892500</v>
      </c>
      <c r="B2712" s="5" t="s">
        <v>2842</v>
      </c>
    </row>
    <row r="2713" spans="1:2" x14ac:dyDescent="0.35">
      <c r="A2713" s="4">
        <v>892900</v>
      </c>
      <c r="B2713" s="5" t="s">
        <v>2843</v>
      </c>
    </row>
    <row r="2714" spans="1:2" x14ac:dyDescent="0.35">
      <c r="A2714" s="4">
        <v>893200</v>
      </c>
      <c r="B2714" s="5" t="s">
        <v>2844</v>
      </c>
    </row>
    <row r="2715" spans="1:2" x14ac:dyDescent="0.35">
      <c r="A2715" s="4">
        <v>893300</v>
      </c>
      <c r="B2715" s="5" t="s">
        <v>2845</v>
      </c>
    </row>
    <row r="2716" spans="1:2" x14ac:dyDescent="0.35">
      <c r="A2716" s="4">
        <v>893400</v>
      </c>
      <c r="B2716" s="5" t="s">
        <v>2846</v>
      </c>
    </row>
    <row r="2717" spans="1:2" x14ac:dyDescent="0.35">
      <c r="A2717" s="4">
        <v>893500</v>
      </c>
      <c r="B2717" s="5" t="s">
        <v>2847</v>
      </c>
    </row>
    <row r="2718" spans="1:2" x14ac:dyDescent="0.35">
      <c r="A2718" s="4">
        <v>893900</v>
      </c>
      <c r="B2718" s="5" t="s">
        <v>2848</v>
      </c>
    </row>
    <row r="2719" spans="1:2" x14ac:dyDescent="0.35">
      <c r="A2719" s="4">
        <v>894200</v>
      </c>
      <c r="B2719" s="5" t="s">
        <v>2849</v>
      </c>
    </row>
    <row r="2720" spans="1:2" x14ac:dyDescent="0.35">
      <c r="A2720" s="4">
        <v>894300</v>
      </c>
      <c r="B2720" s="5" t="s">
        <v>2850</v>
      </c>
    </row>
    <row r="2721" spans="1:2" x14ac:dyDescent="0.35">
      <c r="A2721" s="4">
        <v>894400</v>
      </c>
      <c r="B2721" s="5" t="s">
        <v>2851</v>
      </c>
    </row>
    <row r="2722" spans="1:2" x14ac:dyDescent="0.35">
      <c r="A2722" s="4">
        <v>894900</v>
      </c>
      <c r="B2722" s="5" t="s">
        <v>2852</v>
      </c>
    </row>
    <row r="2723" spans="1:2" x14ac:dyDescent="0.35">
      <c r="A2723" s="4">
        <v>895200</v>
      </c>
      <c r="B2723" s="5" t="s">
        <v>2853</v>
      </c>
    </row>
    <row r="2724" spans="1:2" x14ac:dyDescent="0.35">
      <c r="A2724" s="4">
        <v>895300</v>
      </c>
      <c r="B2724" s="5" t="s">
        <v>2854</v>
      </c>
    </row>
    <row r="2725" spans="1:2" x14ac:dyDescent="0.35">
      <c r="A2725" s="4">
        <v>895400</v>
      </c>
      <c r="B2725" s="5" t="s">
        <v>2855</v>
      </c>
    </row>
    <row r="2726" spans="1:2" x14ac:dyDescent="0.35">
      <c r="A2726" s="4">
        <v>895500</v>
      </c>
      <c r="B2726" s="5" t="s">
        <v>2856</v>
      </c>
    </row>
    <row r="2727" spans="1:2" x14ac:dyDescent="0.35">
      <c r="A2727" s="4">
        <v>895600</v>
      </c>
      <c r="B2727" s="5" t="s">
        <v>2857</v>
      </c>
    </row>
    <row r="2728" spans="1:2" x14ac:dyDescent="0.35">
      <c r="A2728" s="4">
        <v>895900</v>
      </c>
      <c r="B2728" s="5" t="s">
        <v>2858</v>
      </c>
    </row>
    <row r="2729" spans="1:2" x14ac:dyDescent="0.35">
      <c r="A2729" s="4">
        <v>896000</v>
      </c>
      <c r="B2729" s="5" t="s">
        <v>2859</v>
      </c>
    </row>
    <row r="2730" spans="1:2" x14ac:dyDescent="0.35">
      <c r="A2730" s="4">
        <v>899200</v>
      </c>
      <c r="B2730" s="5" t="s">
        <v>2860</v>
      </c>
    </row>
    <row r="2731" spans="1:2" x14ac:dyDescent="0.35">
      <c r="A2731" s="4">
        <v>899300</v>
      </c>
      <c r="B2731" s="5" t="s">
        <v>2861</v>
      </c>
    </row>
    <row r="2732" spans="1:2" x14ac:dyDescent="0.35">
      <c r="A2732" s="4">
        <v>899400</v>
      </c>
      <c r="B2732" s="5" t="s">
        <v>2862</v>
      </c>
    </row>
    <row r="2733" spans="1:2" x14ac:dyDescent="0.35">
      <c r="A2733" s="4">
        <v>899500</v>
      </c>
      <c r="B2733" s="5" t="s">
        <v>2863</v>
      </c>
    </row>
    <row r="2734" spans="1:2" x14ac:dyDescent="0.35">
      <c r="A2734" s="4">
        <v>899600</v>
      </c>
      <c r="B2734" s="5" t="s">
        <v>2864</v>
      </c>
    </row>
    <row r="2735" spans="1:2" x14ac:dyDescent="0.35">
      <c r="A2735" s="4">
        <v>899900</v>
      </c>
      <c r="B2735" s="5" t="s">
        <v>2865</v>
      </c>
    </row>
    <row r="2736" spans="1:2" x14ac:dyDescent="0.35">
      <c r="A2736" s="4">
        <v>901150</v>
      </c>
      <c r="B2736" s="5" t="s">
        <v>2866</v>
      </c>
    </row>
    <row r="2737" spans="1:2" x14ac:dyDescent="0.35">
      <c r="A2737" s="4">
        <v>901200</v>
      </c>
      <c r="B2737" s="5" t="s">
        <v>2867</v>
      </c>
    </row>
    <row r="2738" spans="1:2" x14ac:dyDescent="0.35">
      <c r="A2738" s="4">
        <v>901250</v>
      </c>
      <c r="B2738" s="5" t="s">
        <v>2868</v>
      </c>
    </row>
    <row r="2739" spans="1:2" x14ac:dyDescent="0.35">
      <c r="A2739" s="4">
        <v>901300</v>
      </c>
      <c r="B2739" s="5" t="s">
        <v>2869</v>
      </c>
    </row>
    <row r="2740" spans="1:2" x14ac:dyDescent="0.35">
      <c r="A2740" s="4">
        <v>901350</v>
      </c>
      <c r="B2740" s="5" t="s">
        <v>2870</v>
      </c>
    </row>
    <row r="2741" spans="1:2" x14ac:dyDescent="0.35">
      <c r="A2741" s="4">
        <v>901400</v>
      </c>
      <c r="B2741" s="5" t="s">
        <v>2871</v>
      </c>
    </row>
    <row r="2742" spans="1:2" x14ac:dyDescent="0.35">
      <c r="A2742" s="4">
        <v>901450</v>
      </c>
      <c r="B2742" s="5" t="s">
        <v>2872</v>
      </c>
    </row>
    <row r="2743" spans="1:2" x14ac:dyDescent="0.35">
      <c r="A2743" s="4">
        <v>901500</v>
      </c>
      <c r="B2743" s="5" t="s">
        <v>2873</v>
      </c>
    </row>
    <row r="2744" spans="1:2" x14ac:dyDescent="0.35">
      <c r="A2744" s="4">
        <v>901550</v>
      </c>
      <c r="B2744" s="5" t="s">
        <v>2874</v>
      </c>
    </row>
    <row r="2745" spans="1:2" x14ac:dyDescent="0.35">
      <c r="A2745" s="4">
        <v>901600</v>
      </c>
      <c r="B2745" s="5" t="s">
        <v>2875</v>
      </c>
    </row>
    <row r="2746" spans="1:2" x14ac:dyDescent="0.35">
      <c r="A2746" s="4">
        <v>901900</v>
      </c>
      <c r="B2746" s="5" t="s">
        <v>2876</v>
      </c>
    </row>
    <row r="2747" spans="1:2" x14ac:dyDescent="0.35">
      <c r="A2747" s="4">
        <v>902200</v>
      </c>
      <c r="B2747" s="5" t="s">
        <v>2877</v>
      </c>
    </row>
    <row r="2748" spans="1:2" x14ac:dyDescent="0.35">
      <c r="A2748" s="4">
        <v>902300</v>
      </c>
      <c r="B2748" s="5" t="s">
        <v>2878</v>
      </c>
    </row>
    <row r="2749" spans="1:2" x14ac:dyDescent="0.35">
      <c r="A2749" s="4">
        <v>902400</v>
      </c>
      <c r="B2749" s="5" t="s">
        <v>2879</v>
      </c>
    </row>
    <row r="2750" spans="1:2" x14ac:dyDescent="0.35">
      <c r="A2750" s="4">
        <v>902500</v>
      </c>
      <c r="B2750" s="5" t="s">
        <v>2880</v>
      </c>
    </row>
    <row r="2751" spans="1:2" x14ac:dyDescent="0.35">
      <c r="A2751" s="4">
        <v>902600</v>
      </c>
      <c r="B2751" s="5" t="s">
        <v>2881</v>
      </c>
    </row>
    <row r="2752" spans="1:2" x14ac:dyDescent="0.35">
      <c r="A2752" s="4">
        <v>902900</v>
      </c>
      <c r="B2752" s="5" t="s">
        <v>2882</v>
      </c>
    </row>
    <row r="2753" spans="1:2" x14ac:dyDescent="0.35">
      <c r="A2753" s="4">
        <v>910200</v>
      </c>
      <c r="B2753" s="5" t="s">
        <v>2883</v>
      </c>
    </row>
    <row r="2754" spans="1:2" x14ac:dyDescent="0.35">
      <c r="A2754" s="4">
        <v>910300</v>
      </c>
      <c r="B2754" s="5" t="s">
        <v>2884</v>
      </c>
    </row>
    <row r="2755" spans="1:2" x14ac:dyDescent="0.35">
      <c r="A2755" s="4">
        <v>910400</v>
      </c>
      <c r="B2755" s="5" t="s">
        <v>2885</v>
      </c>
    </row>
    <row r="2756" spans="1:2" x14ac:dyDescent="0.35">
      <c r="A2756" s="4">
        <v>910500</v>
      </c>
      <c r="B2756" s="5" t="s">
        <v>2886</v>
      </c>
    </row>
    <row r="2757" spans="1:2" x14ac:dyDescent="0.35">
      <c r="A2757" s="4">
        <v>910600</v>
      </c>
      <c r="B2757" s="5" t="s">
        <v>2887</v>
      </c>
    </row>
    <row r="2758" spans="1:2" x14ac:dyDescent="0.35">
      <c r="A2758" s="4">
        <v>910700</v>
      </c>
      <c r="B2758" s="5" t="s">
        <v>2888</v>
      </c>
    </row>
    <row r="2759" spans="1:2" x14ac:dyDescent="0.35">
      <c r="A2759" s="4">
        <v>910800</v>
      </c>
      <c r="B2759" s="5" t="s">
        <v>2889</v>
      </c>
    </row>
    <row r="2760" spans="1:2" x14ac:dyDescent="0.35">
      <c r="A2760" s="4">
        <v>910900</v>
      </c>
      <c r="B2760" s="5" t="s">
        <v>2890</v>
      </c>
    </row>
    <row r="2761" spans="1:2" x14ac:dyDescent="0.35">
      <c r="A2761" s="4">
        <v>921100</v>
      </c>
      <c r="B2761" s="5" t="s">
        <v>2891</v>
      </c>
    </row>
    <row r="2762" spans="1:2" x14ac:dyDescent="0.35">
      <c r="A2762" s="4">
        <v>921110</v>
      </c>
      <c r="B2762" s="5" t="s">
        <v>2892</v>
      </c>
    </row>
    <row r="2763" spans="1:2" x14ac:dyDescent="0.35">
      <c r="A2763" s="4">
        <v>921150</v>
      </c>
      <c r="B2763" s="5" t="s">
        <v>2893</v>
      </c>
    </row>
    <row r="2764" spans="1:2" x14ac:dyDescent="0.35">
      <c r="A2764" s="4">
        <v>921200</v>
      </c>
      <c r="B2764" s="5" t="s">
        <v>2894</v>
      </c>
    </row>
    <row r="2765" spans="1:2" x14ac:dyDescent="0.35">
      <c r="A2765" s="4">
        <v>921250</v>
      </c>
      <c r="B2765" s="5" t="s">
        <v>2895</v>
      </c>
    </row>
    <row r="2766" spans="1:2" x14ac:dyDescent="0.35">
      <c r="A2766" s="4">
        <v>921300</v>
      </c>
      <c r="B2766" s="5" t="s">
        <v>2896</v>
      </c>
    </row>
    <row r="2767" spans="1:2" x14ac:dyDescent="0.35">
      <c r="A2767" s="4">
        <v>921350</v>
      </c>
      <c r="B2767" s="5" t="s">
        <v>2897</v>
      </c>
    </row>
    <row r="2768" spans="1:2" x14ac:dyDescent="0.35">
      <c r="A2768" s="4">
        <v>921400</v>
      </c>
      <c r="B2768" s="5" t="s">
        <v>2898</v>
      </c>
    </row>
    <row r="2769" spans="1:2" x14ac:dyDescent="0.35">
      <c r="A2769" s="4">
        <v>921450</v>
      </c>
      <c r="B2769" s="5" t="s">
        <v>2899</v>
      </c>
    </row>
    <row r="2770" spans="1:2" x14ac:dyDescent="0.35">
      <c r="A2770" s="4">
        <v>921500</v>
      </c>
      <c r="B2770" s="5" t="s">
        <v>2900</v>
      </c>
    </row>
    <row r="2771" spans="1:2" x14ac:dyDescent="0.35">
      <c r="A2771" s="4">
        <v>921550</v>
      </c>
      <c r="B2771" s="5" t="s">
        <v>2901</v>
      </c>
    </row>
    <row r="2772" spans="1:2" x14ac:dyDescent="0.35">
      <c r="A2772" s="4">
        <v>921900</v>
      </c>
      <c r="B2772" s="5" t="s">
        <v>2902</v>
      </c>
    </row>
    <row r="2773" spans="1:2" x14ac:dyDescent="0.35">
      <c r="A2773" s="4">
        <v>922200</v>
      </c>
      <c r="B2773" s="5" t="s">
        <v>2903</v>
      </c>
    </row>
    <row r="2774" spans="1:2" x14ac:dyDescent="0.35">
      <c r="A2774" s="4">
        <v>922300</v>
      </c>
      <c r="B2774" s="5" t="s">
        <v>2904</v>
      </c>
    </row>
    <row r="2775" spans="1:2" x14ac:dyDescent="0.35">
      <c r="A2775" s="4">
        <v>922400</v>
      </c>
      <c r="B2775" s="5" t="s">
        <v>2905</v>
      </c>
    </row>
    <row r="2776" spans="1:2" x14ac:dyDescent="0.35">
      <c r="A2776" s="4">
        <v>922500</v>
      </c>
      <c r="B2776" s="5" t="s">
        <v>2906</v>
      </c>
    </row>
    <row r="2777" spans="1:2" x14ac:dyDescent="0.35">
      <c r="A2777" s="4">
        <v>922600</v>
      </c>
      <c r="B2777" s="5" t="s">
        <v>2907</v>
      </c>
    </row>
    <row r="2778" spans="1:2" x14ac:dyDescent="0.35">
      <c r="A2778" s="4">
        <v>922700</v>
      </c>
      <c r="B2778" s="5" t="s">
        <v>2908</v>
      </c>
    </row>
    <row r="2779" spans="1:2" x14ac:dyDescent="0.35">
      <c r="A2779" s="4">
        <v>922800</v>
      </c>
      <c r="B2779" s="5" t="s">
        <v>2909</v>
      </c>
    </row>
    <row r="2780" spans="1:2" x14ac:dyDescent="0.35">
      <c r="A2780" s="4">
        <v>922900</v>
      </c>
      <c r="B2780" s="5" t="s">
        <v>2910</v>
      </c>
    </row>
    <row r="2781" spans="1:2" x14ac:dyDescent="0.35">
      <c r="A2781" s="4">
        <v>923200</v>
      </c>
      <c r="B2781" s="5" t="s">
        <v>2911</v>
      </c>
    </row>
    <row r="2782" spans="1:2" x14ac:dyDescent="0.35">
      <c r="A2782" s="4">
        <v>923400</v>
      </c>
      <c r="B2782" s="5" t="s">
        <v>2912</v>
      </c>
    </row>
    <row r="2783" spans="1:2" x14ac:dyDescent="0.35">
      <c r="A2783" s="4">
        <v>923900</v>
      </c>
      <c r="B2783" s="5" t="s">
        <v>2913</v>
      </c>
    </row>
    <row r="2784" spans="1:2" x14ac:dyDescent="0.35">
      <c r="A2784" s="4">
        <v>924150</v>
      </c>
      <c r="B2784" s="5" t="s">
        <v>2914</v>
      </c>
    </row>
    <row r="2785" spans="1:2" x14ac:dyDescent="0.35">
      <c r="A2785" s="4">
        <v>924200</v>
      </c>
      <c r="B2785" s="5" t="s">
        <v>2915</v>
      </c>
    </row>
    <row r="2786" spans="1:2" x14ac:dyDescent="0.35">
      <c r="A2786" s="4">
        <v>924250</v>
      </c>
      <c r="B2786" s="5" t="s">
        <v>2916</v>
      </c>
    </row>
    <row r="2787" spans="1:2" x14ac:dyDescent="0.35">
      <c r="A2787" s="4">
        <v>924300</v>
      </c>
      <c r="B2787" s="5" t="s">
        <v>2917</v>
      </c>
    </row>
    <row r="2788" spans="1:2" x14ac:dyDescent="0.35">
      <c r="A2788" s="4">
        <v>924350</v>
      </c>
      <c r="B2788" s="5" t="s">
        <v>2918</v>
      </c>
    </row>
    <row r="2789" spans="1:2" x14ac:dyDescent="0.35">
      <c r="A2789" s="4">
        <v>924400</v>
      </c>
      <c r="B2789" s="5" t="s">
        <v>2919</v>
      </c>
    </row>
    <row r="2790" spans="1:2" x14ac:dyDescent="0.35">
      <c r="A2790" s="4">
        <v>924450</v>
      </c>
      <c r="B2790" s="5" t="s">
        <v>2920</v>
      </c>
    </row>
    <row r="2791" spans="1:2" x14ac:dyDescent="0.35">
      <c r="A2791" s="4">
        <v>924500</v>
      </c>
      <c r="B2791" s="5" t="s">
        <v>2921</v>
      </c>
    </row>
    <row r="2792" spans="1:2" x14ac:dyDescent="0.35">
      <c r="A2792" s="4">
        <v>924550</v>
      </c>
      <c r="B2792" s="5" t="s">
        <v>2922</v>
      </c>
    </row>
    <row r="2793" spans="1:2" x14ac:dyDescent="0.35">
      <c r="A2793" s="4">
        <v>924900</v>
      </c>
      <c r="B2793" s="5" t="s">
        <v>2923</v>
      </c>
    </row>
    <row r="2794" spans="1:2" x14ac:dyDescent="0.35">
      <c r="A2794" s="4">
        <v>925100</v>
      </c>
      <c r="B2794" s="5" t="s">
        <v>2924</v>
      </c>
    </row>
    <row r="2795" spans="1:2" x14ac:dyDescent="0.35">
      <c r="A2795" s="4">
        <v>925200</v>
      </c>
      <c r="B2795" s="5" t="s">
        <v>2925</v>
      </c>
    </row>
    <row r="2796" spans="1:2" x14ac:dyDescent="0.35">
      <c r="A2796" s="4">
        <v>925300</v>
      </c>
      <c r="B2796" s="5" t="s">
        <v>2926</v>
      </c>
    </row>
    <row r="2797" spans="1:2" x14ac:dyDescent="0.35">
      <c r="A2797" s="4">
        <v>925400</v>
      </c>
      <c r="B2797" s="5" t="s">
        <v>2927</v>
      </c>
    </row>
    <row r="2798" spans="1:2" x14ac:dyDescent="0.35">
      <c r="A2798" s="4">
        <v>925500</v>
      </c>
      <c r="B2798" s="5" t="s">
        <v>2928</v>
      </c>
    </row>
    <row r="2799" spans="1:2" x14ac:dyDescent="0.35">
      <c r="A2799" s="4">
        <v>925600</v>
      </c>
      <c r="B2799" s="5" t="s">
        <v>2929</v>
      </c>
    </row>
    <row r="2800" spans="1:2" x14ac:dyDescent="0.35">
      <c r="A2800" s="4">
        <v>925900</v>
      </c>
      <c r="B2800" s="5" t="s">
        <v>2930</v>
      </c>
    </row>
    <row r="2801" spans="1:2" x14ac:dyDescent="0.35">
      <c r="A2801" s="4">
        <v>926200</v>
      </c>
      <c r="B2801" s="5" t="s">
        <v>2931</v>
      </c>
    </row>
    <row r="2802" spans="1:2" x14ac:dyDescent="0.35">
      <c r="A2802" s="4">
        <v>926300</v>
      </c>
      <c r="B2802" s="5" t="s">
        <v>2932</v>
      </c>
    </row>
    <row r="2803" spans="1:2" x14ac:dyDescent="0.35">
      <c r="A2803" s="4">
        <v>926400</v>
      </c>
      <c r="B2803" s="5" t="s">
        <v>2933</v>
      </c>
    </row>
    <row r="2804" spans="1:2" x14ac:dyDescent="0.35">
      <c r="A2804" s="4">
        <v>926500</v>
      </c>
      <c r="B2804" s="5" t="s">
        <v>2934</v>
      </c>
    </row>
    <row r="2805" spans="1:2" x14ac:dyDescent="0.35">
      <c r="A2805" s="4">
        <v>926600</v>
      </c>
      <c r="B2805" s="5" t="s">
        <v>2935</v>
      </c>
    </row>
    <row r="2806" spans="1:2" x14ac:dyDescent="0.35">
      <c r="A2806" s="4">
        <v>926900</v>
      </c>
      <c r="B2806" s="5" t="s">
        <v>2936</v>
      </c>
    </row>
    <row r="2807" spans="1:2" x14ac:dyDescent="0.35">
      <c r="A2807" s="4">
        <v>927200</v>
      </c>
      <c r="B2807" s="5" t="s">
        <v>2937</v>
      </c>
    </row>
    <row r="2808" spans="1:2" x14ac:dyDescent="0.35">
      <c r="A2808" s="4">
        <v>927300</v>
      </c>
      <c r="B2808" s="5" t="s">
        <v>2938</v>
      </c>
    </row>
    <row r="2809" spans="1:2" x14ac:dyDescent="0.35">
      <c r="A2809" s="4">
        <v>927400</v>
      </c>
      <c r="B2809" s="5" t="s">
        <v>2939</v>
      </c>
    </row>
    <row r="2810" spans="1:2" x14ac:dyDescent="0.35">
      <c r="A2810" s="4">
        <v>927500</v>
      </c>
      <c r="B2810" s="5" t="s">
        <v>2940</v>
      </c>
    </row>
    <row r="2811" spans="1:2" x14ac:dyDescent="0.35">
      <c r="A2811" s="4">
        <v>927900</v>
      </c>
      <c r="B2811" s="5" t="s">
        <v>2941</v>
      </c>
    </row>
    <row r="2812" spans="1:2" x14ac:dyDescent="0.35">
      <c r="A2812" s="4">
        <v>929200</v>
      </c>
      <c r="B2812" s="5" t="s">
        <v>2942</v>
      </c>
    </row>
    <row r="2813" spans="1:2" x14ac:dyDescent="0.35">
      <c r="A2813" s="4">
        <v>929300</v>
      </c>
      <c r="B2813" s="5" t="s">
        <v>2943</v>
      </c>
    </row>
    <row r="2814" spans="1:2" x14ac:dyDescent="0.35">
      <c r="A2814" s="4">
        <v>929400</v>
      </c>
      <c r="B2814" s="5" t="s">
        <v>2944</v>
      </c>
    </row>
    <row r="2815" spans="1:2" x14ac:dyDescent="0.35">
      <c r="A2815" s="4">
        <v>929500</v>
      </c>
      <c r="B2815" s="5" t="s">
        <v>2945</v>
      </c>
    </row>
    <row r="2816" spans="1:2" x14ac:dyDescent="0.35">
      <c r="A2816" s="4">
        <v>929900</v>
      </c>
      <c r="B2816" s="5" t="s">
        <v>2946</v>
      </c>
    </row>
    <row r="2817" spans="1:2" x14ac:dyDescent="0.35">
      <c r="A2817" s="4">
        <v>931000</v>
      </c>
      <c r="B2817" s="5" t="s">
        <v>2947</v>
      </c>
    </row>
    <row r="2818" spans="1:2" x14ac:dyDescent="0.35">
      <c r="A2818" s="4">
        <v>931200</v>
      </c>
      <c r="B2818" s="5" t="s">
        <v>2948</v>
      </c>
    </row>
    <row r="2819" spans="1:2" x14ac:dyDescent="0.35">
      <c r="A2819" s="4">
        <v>931400</v>
      </c>
      <c r="B2819" s="5" t="s">
        <v>2949</v>
      </c>
    </row>
    <row r="2820" spans="1:2" x14ac:dyDescent="0.35">
      <c r="A2820" s="4">
        <v>931900</v>
      </c>
      <c r="B2820" s="5" t="s">
        <v>2950</v>
      </c>
    </row>
    <row r="2821" spans="1:2" x14ac:dyDescent="0.35">
      <c r="A2821" s="4">
        <v>939100</v>
      </c>
      <c r="B2821" s="5" t="s">
        <v>2951</v>
      </c>
    </row>
    <row r="2822" spans="1:2" x14ac:dyDescent="0.35">
      <c r="A2822" s="4">
        <v>939200</v>
      </c>
      <c r="B2822" s="5" t="s">
        <v>2952</v>
      </c>
    </row>
    <row r="2823" spans="1:2" x14ac:dyDescent="0.35">
      <c r="A2823" s="4">
        <v>939300</v>
      </c>
      <c r="B2823" s="5" t="s">
        <v>2953</v>
      </c>
    </row>
    <row r="2824" spans="1:2" x14ac:dyDescent="0.35">
      <c r="A2824" s="4">
        <v>939400</v>
      </c>
      <c r="B2824" s="5" t="s">
        <v>2954</v>
      </c>
    </row>
    <row r="2825" spans="1:2" x14ac:dyDescent="0.35">
      <c r="A2825" s="4">
        <v>939500</v>
      </c>
      <c r="B2825" s="5" t="s">
        <v>2955</v>
      </c>
    </row>
    <row r="2826" spans="1:2" x14ac:dyDescent="0.35">
      <c r="A2826" s="4">
        <v>939600</v>
      </c>
      <c r="B2826" s="5" t="s">
        <v>2956</v>
      </c>
    </row>
    <row r="2827" spans="1:2" x14ac:dyDescent="0.35">
      <c r="A2827" s="4">
        <v>939900</v>
      </c>
      <c r="B2827" s="5" t="s">
        <v>2957</v>
      </c>
    </row>
    <row r="2828" spans="1:2" x14ac:dyDescent="0.35">
      <c r="A2828" s="4">
        <v>941200</v>
      </c>
      <c r="B2828" s="5" t="s">
        <v>2958</v>
      </c>
    </row>
    <row r="2829" spans="1:2" x14ac:dyDescent="0.35">
      <c r="A2829" s="4">
        <v>941400</v>
      </c>
      <c r="B2829" s="5" t="s">
        <v>2959</v>
      </c>
    </row>
    <row r="2830" spans="1:2" x14ac:dyDescent="0.35">
      <c r="A2830" s="4">
        <v>941900</v>
      </c>
      <c r="B2830" s="5" t="s">
        <v>2960</v>
      </c>
    </row>
    <row r="2831" spans="1:2" x14ac:dyDescent="0.35">
      <c r="A2831" s="4">
        <v>942150</v>
      </c>
      <c r="B2831" s="5" t="s">
        <v>2961</v>
      </c>
    </row>
    <row r="2832" spans="1:2" x14ac:dyDescent="0.35">
      <c r="A2832" s="4">
        <v>942200</v>
      </c>
      <c r="B2832" s="5" t="s">
        <v>2962</v>
      </c>
    </row>
    <row r="2833" spans="1:2" x14ac:dyDescent="0.35">
      <c r="A2833" s="4">
        <v>942250</v>
      </c>
      <c r="B2833" s="5" t="s">
        <v>2963</v>
      </c>
    </row>
    <row r="2834" spans="1:2" x14ac:dyDescent="0.35">
      <c r="A2834" s="4">
        <v>942300</v>
      </c>
      <c r="B2834" s="5" t="s">
        <v>2964</v>
      </c>
    </row>
    <row r="2835" spans="1:2" x14ac:dyDescent="0.35">
      <c r="A2835" s="4">
        <v>942350</v>
      </c>
      <c r="B2835" s="5" t="s">
        <v>2965</v>
      </c>
    </row>
    <row r="2836" spans="1:2" x14ac:dyDescent="0.35">
      <c r="A2836" s="4">
        <v>942400</v>
      </c>
      <c r="B2836" s="5" t="s">
        <v>2966</v>
      </c>
    </row>
    <row r="2837" spans="1:2" x14ac:dyDescent="0.35">
      <c r="A2837" s="4">
        <v>942450</v>
      </c>
      <c r="B2837" s="5" t="s">
        <v>2967</v>
      </c>
    </row>
    <row r="2838" spans="1:2" x14ac:dyDescent="0.35">
      <c r="A2838" s="4">
        <v>942500</v>
      </c>
      <c r="B2838" s="5" t="s">
        <v>2968</v>
      </c>
    </row>
    <row r="2839" spans="1:2" x14ac:dyDescent="0.35">
      <c r="A2839" s="4">
        <v>942900</v>
      </c>
      <c r="B2839" s="5" t="s">
        <v>2969</v>
      </c>
    </row>
    <row r="2840" spans="1:2" x14ac:dyDescent="0.35">
      <c r="A2840" s="4">
        <v>943200</v>
      </c>
      <c r="B2840" s="5" t="s">
        <v>2970</v>
      </c>
    </row>
    <row r="2841" spans="1:2" x14ac:dyDescent="0.35">
      <c r="A2841" s="4">
        <v>943300</v>
      </c>
      <c r="B2841" s="5" t="s">
        <v>2971</v>
      </c>
    </row>
    <row r="2842" spans="1:2" x14ac:dyDescent="0.35">
      <c r="A2842" s="4">
        <v>943400</v>
      </c>
      <c r="B2842" s="5" t="s">
        <v>2972</v>
      </c>
    </row>
    <row r="2843" spans="1:2" x14ac:dyDescent="0.35">
      <c r="A2843" s="4">
        <v>943900</v>
      </c>
      <c r="B2843" s="5" t="s">
        <v>2973</v>
      </c>
    </row>
    <row r="2844" spans="1:2" x14ac:dyDescent="0.35">
      <c r="A2844" s="4">
        <v>944200</v>
      </c>
      <c r="B2844" s="5" t="s">
        <v>2974</v>
      </c>
    </row>
    <row r="2845" spans="1:2" x14ac:dyDescent="0.35">
      <c r="A2845" s="4">
        <v>944300</v>
      </c>
      <c r="B2845" s="5" t="s">
        <v>2975</v>
      </c>
    </row>
    <row r="2846" spans="1:2" x14ac:dyDescent="0.35">
      <c r="A2846" s="4">
        <v>944310</v>
      </c>
      <c r="B2846" s="5" t="s">
        <v>2976</v>
      </c>
    </row>
    <row r="2847" spans="1:2" x14ac:dyDescent="0.35">
      <c r="A2847" s="4">
        <v>944320</v>
      </c>
      <c r="B2847" s="5" t="s">
        <v>2977</v>
      </c>
    </row>
    <row r="2848" spans="1:2" x14ac:dyDescent="0.35">
      <c r="A2848" s="4">
        <v>944400</v>
      </c>
      <c r="B2848" s="5" t="s">
        <v>2978</v>
      </c>
    </row>
    <row r="2849" spans="1:2" x14ac:dyDescent="0.35">
      <c r="A2849" s="4">
        <v>944500</v>
      </c>
      <c r="B2849" s="5" t="s">
        <v>2979</v>
      </c>
    </row>
    <row r="2850" spans="1:2" x14ac:dyDescent="0.35">
      <c r="A2850" s="4">
        <v>944600</v>
      </c>
      <c r="B2850" s="5" t="s">
        <v>2980</v>
      </c>
    </row>
    <row r="2851" spans="1:2" x14ac:dyDescent="0.35">
      <c r="A2851" s="4">
        <v>944700</v>
      </c>
      <c r="B2851" s="5" t="s">
        <v>2981</v>
      </c>
    </row>
    <row r="2852" spans="1:2" x14ac:dyDescent="0.35">
      <c r="A2852" s="4">
        <v>944800</v>
      </c>
      <c r="B2852" s="5" t="s">
        <v>2982</v>
      </c>
    </row>
    <row r="2853" spans="1:2" x14ac:dyDescent="0.35">
      <c r="A2853" s="4">
        <v>944810</v>
      </c>
      <c r="B2853" s="5" t="s">
        <v>2983</v>
      </c>
    </row>
    <row r="2854" spans="1:2" x14ac:dyDescent="0.35">
      <c r="A2854" s="4">
        <v>944900</v>
      </c>
      <c r="B2854" s="5" t="s">
        <v>2984</v>
      </c>
    </row>
    <row r="2855" spans="1:2" x14ac:dyDescent="0.35">
      <c r="A2855" s="4">
        <v>949150</v>
      </c>
      <c r="B2855" s="5" t="s">
        <v>2985</v>
      </c>
    </row>
    <row r="2856" spans="1:2" x14ac:dyDescent="0.35">
      <c r="A2856" s="4">
        <v>949200</v>
      </c>
      <c r="B2856" s="5" t="s">
        <v>2986</v>
      </c>
    </row>
    <row r="2857" spans="1:2" x14ac:dyDescent="0.35">
      <c r="A2857" s="4">
        <v>949250</v>
      </c>
      <c r="B2857" s="5" t="s">
        <v>2987</v>
      </c>
    </row>
    <row r="2858" spans="1:2" x14ac:dyDescent="0.35">
      <c r="A2858" s="4">
        <v>949300</v>
      </c>
      <c r="B2858" s="5" t="s">
        <v>2988</v>
      </c>
    </row>
    <row r="2859" spans="1:2" x14ac:dyDescent="0.35">
      <c r="A2859" s="4">
        <v>949350</v>
      </c>
      <c r="B2859" s="5" t="s">
        <v>2989</v>
      </c>
    </row>
    <row r="2860" spans="1:2" x14ac:dyDescent="0.35">
      <c r="A2860" s="4">
        <v>949400</v>
      </c>
      <c r="B2860" s="5" t="s">
        <v>2990</v>
      </c>
    </row>
    <row r="2861" spans="1:2" x14ac:dyDescent="0.35">
      <c r="A2861" s="4">
        <v>949450</v>
      </c>
      <c r="B2861" s="5" t="s">
        <v>2991</v>
      </c>
    </row>
    <row r="2862" spans="1:2" x14ac:dyDescent="0.35">
      <c r="A2862" s="4">
        <v>949500</v>
      </c>
      <c r="B2862" s="5" t="s">
        <v>2992</v>
      </c>
    </row>
    <row r="2863" spans="1:2" x14ac:dyDescent="0.35">
      <c r="A2863" s="4">
        <v>949550</v>
      </c>
      <c r="B2863" s="5" t="s">
        <v>2993</v>
      </c>
    </row>
    <row r="2864" spans="1:2" x14ac:dyDescent="0.35">
      <c r="A2864" s="4">
        <v>949600</v>
      </c>
      <c r="B2864" s="5" t="s">
        <v>2994</v>
      </c>
    </row>
    <row r="2865" spans="1:2" x14ac:dyDescent="0.35">
      <c r="A2865" s="4">
        <v>949650</v>
      </c>
      <c r="B2865" s="5" t="s">
        <v>2995</v>
      </c>
    </row>
    <row r="2866" spans="1:2" x14ac:dyDescent="0.35">
      <c r="A2866" s="4">
        <v>949700</v>
      </c>
      <c r="B2866" s="5" t="s">
        <v>2996</v>
      </c>
    </row>
    <row r="2867" spans="1:2" x14ac:dyDescent="0.35">
      <c r="A2867" s="4">
        <v>949750</v>
      </c>
      <c r="B2867" s="5" t="s">
        <v>2997</v>
      </c>
    </row>
    <row r="2868" spans="1:2" x14ac:dyDescent="0.35">
      <c r="A2868" s="4">
        <v>949800</v>
      </c>
      <c r="B2868" s="5" t="s">
        <v>2998</v>
      </c>
    </row>
    <row r="2869" spans="1:2" x14ac:dyDescent="0.35">
      <c r="A2869" s="4">
        <v>949850</v>
      </c>
      <c r="B2869" s="5" t="s">
        <v>2999</v>
      </c>
    </row>
    <row r="2870" spans="1:2" x14ac:dyDescent="0.35">
      <c r="A2870" s="4">
        <v>949900</v>
      </c>
      <c r="B2870" s="5" t="s">
        <v>3000</v>
      </c>
    </row>
    <row r="2871" spans="1:2" x14ac:dyDescent="0.35">
      <c r="A2871" s="4">
        <v>949910</v>
      </c>
      <c r="B2871" s="5" t="s">
        <v>3001</v>
      </c>
    </row>
    <row r="2872" spans="1:2" x14ac:dyDescent="0.35">
      <c r="A2872" s="4">
        <v>949920</v>
      </c>
      <c r="B2872" s="5" t="s">
        <v>3002</v>
      </c>
    </row>
    <row r="2873" spans="1:2" x14ac:dyDescent="0.35">
      <c r="A2873" s="4">
        <v>951000</v>
      </c>
      <c r="B2873" s="5" t="s">
        <v>3003</v>
      </c>
    </row>
    <row r="2874" spans="1:2" x14ac:dyDescent="0.35">
      <c r="A2874" s="4">
        <v>951150</v>
      </c>
      <c r="B2874" s="5" t="s">
        <v>3004</v>
      </c>
    </row>
    <row r="2875" spans="1:2" x14ac:dyDescent="0.35">
      <c r="A2875" s="4">
        <v>951200</v>
      </c>
      <c r="B2875" s="5" t="s">
        <v>3005</v>
      </c>
    </row>
    <row r="2876" spans="1:2" x14ac:dyDescent="0.35">
      <c r="A2876" s="4">
        <v>951250</v>
      </c>
      <c r="B2876" s="5" t="s">
        <v>3006</v>
      </c>
    </row>
    <row r="2877" spans="1:2" x14ac:dyDescent="0.35">
      <c r="A2877" s="4">
        <v>951300</v>
      </c>
      <c r="B2877" s="5" t="s">
        <v>3007</v>
      </c>
    </row>
    <row r="2878" spans="1:2" x14ac:dyDescent="0.35">
      <c r="A2878" s="4">
        <v>951350</v>
      </c>
      <c r="B2878" s="5" t="s">
        <v>3008</v>
      </c>
    </row>
    <row r="2879" spans="1:2" x14ac:dyDescent="0.35">
      <c r="A2879" s="4">
        <v>951400</v>
      </c>
      <c r="B2879" s="5" t="s">
        <v>3009</v>
      </c>
    </row>
    <row r="2880" spans="1:2" x14ac:dyDescent="0.35">
      <c r="A2880" s="4">
        <v>951450</v>
      </c>
      <c r="B2880" s="5" t="s">
        <v>3010</v>
      </c>
    </row>
    <row r="2881" spans="1:2" x14ac:dyDescent="0.35">
      <c r="A2881" s="4">
        <v>951500</v>
      </c>
      <c r="B2881" s="5" t="s">
        <v>3011</v>
      </c>
    </row>
    <row r="2882" spans="1:2" x14ac:dyDescent="0.35">
      <c r="A2882" s="4">
        <v>951550</v>
      </c>
      <c r="B2882" s="5" t="s">
        <v>3012</v>
      </c>
    </row>
    <row r="2883" spans="1:2" x14ac:dyDescent="0.35">
      <c r="A2883" s="4">
        <v>951600</v>
      </c>
      <c r="B2883" s="5" t="s">
        <v>3013</v>
      </c>
    </row>
    <row r="2884" spans="1:2" x14ac:dyDescent="0.35">
      <c r="A2884" s="4">
        <v>951900</v>
      </c>
      <c r="B2884" s="5" t="s">
        <v>3014</v>
      </c>
    </row>
    <row r="2885" spans="1:2" x14ac:dyDescent="0.35">
      <c r="A2885" s="4">
        <v>952200</v>
      </c>
      <c r="B2885" s="5" t="s">
        <v>3015</v>
      </c>
    </row>
    <row r="2886" spans="1:2" x14ac:dyDescent="0.35">
      <c r="A2886" s="4">
        <v>952300</v>
      </c>
      <c r="B2886" s="5" t="s">
        <v>3016</v>
      </c>
    </row>
    <row r="2887" spans="1:2" x14ac:dyDescent="0.35">
      <c r="A2887" s="4">
        <v>952400</v>
      </c>
      <c r="B2887" s="5" t="s">
        <v>3017</v>
      </c>
    </row>
    <row r="2888" spans="1:2" x14ac:dyDescent="0.35">
      <c r="A2888" s="4">
        <v>952500</v>
      </c>
      <c r="B2888" s="5" t="s">
        <v>3018</v>
      </c>
    </row>
    <row r="2889" spans="1:2" x14ac:dyDescent="0.35">
      <c r="A2889" s="4">
        <v>952600</v>
      </c>
      <c r="B2889" s="5" t="s">
        <v>3019</v>
      </c>
    </row>
    <row r="2890" spans="1:2" x14ac:dyDescent="0.35">
      <c r="A2890" s="4">
        <v>952900</v>
      </c>
      <c r="B2890" s="5" t="s">
        <v>3020</v>
      </c>
    </row>
    <row r="2891" spans="1:2" x14ac:dyDescent="0.35">
      <c r="A2891" s="4">
        <v>953100</v>
      </c>
      <c r="B2891" s="5" t="s">
        <v>3021</v>
      </c>
    </row>
    <row r="2892" spans="1:2" x14ac:dyDescent="0.35">
      <c r="A2892" s="4">
        <v>953500</v>
      </c>
      <c r="B2892" s="5" t="s">
        <v>3022</v>
      </c>
    </row>
    <row r="2893" spans="1:2" x14ac:dyDescent="0.35">
      <c r="A2893" s="4">
        <v>953501</v>
      </c>
      <c r="B2893" s="5" t="s">
        <v>3023</v>
      </c>
    </row>
    <row r="2894" spans="1:2" x14ac:dyDescent="0.35">
      <c r="A2894" s="4">
        <v>953502</v>
      </c>
      <c r="B2894" s="5" t="s">
        <v>3024</v>
      </c>
    </row>
    <row r="2895" spans="1:2" x14ac:dyDescent="0.35">
      <c r="A2895" s="4">
        <v>953503</v>
      </c>
      <c r="B2895" s="5" t="s">
        <v>3025</v>
      </c>
    </row>
    <row r="2896" spans="1:2" x14ac:dyDescent="0.35">
      <c r="A2896" s="4">
        <v>953504</v>
      </c>
      <c r="B2896" s="5" t="s">
        <v>3026</v>
      </c>
    </row>
    <row r="2897" spans="1:2" x14ac:dyDescent="0.35">
      <c r="A2897" s="4">
        <v>954000</v>
      </c>
      <c r="B2897" s="5" t="s">
        <v>3027</v>
      </c>
    </row>
    <row r="2898" spans="1:2" x14ac:dyDescent="0.35">
      <c r="A2898" s="4">
        <v>954100</v>
      </c>
      <c r="B2898" s="5" t="s">
        <v>3028</v>
      </c>
    </row>
    <row r="2899" spans="1:2" x14ac:dyDescent="0.35">
      <c r="A2899" s="4">
        <v>954120</v>
      </c>
      <c r="B2899" s="5" t="s">
        <v>3029</v>
      </c>
    </row>
    <row r="2900" spans="1:2" x14ac:dyDescent="0.35">
      <c r="A2900" s="4">
        <v>954150</v>
      </c>
      <c r="B2900" s="5" t="s">
        <v>3030</v>
      </c>
    </row>
    <row r="2901" spans="1:2" x14ac:dyDescent="0.35">
      <c r="A2901" s="4">
        <v>954200</v>
      </c>
      <c r="B2901" s="5" t="s">
        <v>3031</v>
      </c>
    </row>
    <row r="2902" spans="1:2" x14ac:dyDescent="0.35">
      <c r="A2902" s="4">
        <v>954250</v>
      </c>
      <c r="B2902" s="5" t="s">
        <v>3032</v>
      </c>
    </row>
    <row r="2903" spans="1:2" x14ac:dyDescent="0.35">
      <c r="A2903" s="4">
        <v>954300</v>
      </c>
      <c r="B2903" s="5" t="s">
        <v>3033</v>
      </c>
    </row>
    <row r="2904" spans="1:2" x14ac:dyDescent="0.35">
      <c r="A2904" s="4">
        <v>954350</v>
      </c>
      <c r="B2904" s="5" t="s">
        <v>3034</v>
      </c>
    </row>
    <row r="2905" spans="1:2" x14ac:dyDescent="0.35">
      <c r="A2905" s="4">
        <v>954400</v>
      </c>
      <c r="B2905" s="5" t="s">
        <v>3035</v>
      </c>
    </row>
    <row r="2906" spans="1:2" x14ac:dyDescent="0.35">
      <c r="A2906" s="4">
        <v>954450</v>
      </c>
      <c r="B2906" s="5" t="s">
        <v>3036</v>
      </c>
    </row>
    <row r="2907" spans="1:2" x14ac:dyDescent="0.35">
      <c r="A2907" s="4">
        <v>954500</v>
      </c>
      <c r="B2907" s="5" t="s">
        <v>3037</v>
      </c>
    </row>
    <row r="2908" spans="1:2" x14ac:dyDescent="0.35">
      <c r="A2908" s="4">
        <v>954550</v>
      </c>
      <c r="B2908" s="5" t="s">
        <v>3038</v>
      </c>
    </row>
    <row r="2909" spans="1:2" x14ac:dyDescent="0.35">
      <c r="A2909" s="4">
        <v>954900</v>
      </c>
      <c r="B2909" s="5" t="s">
        <v>3039</v>
      </c>
    </row>
    <row r="2910" spans="1:2" x14ac:dyDescent="0.35">
      <c r="A2910" s="4">
        <v>955100</v>
      </c>
      <c r="B2910" s="5" t="s">
        <v>3040</v>
      </c>
    </row>
    <row r="2911" spans="1:2" x14ac:dyDescent="0.35">
      <c r="A2911" s="4">
        <v>955200</v>
      </c>
      <c r="B2911" s="5" t="s">
        <v>3041</v>
      </c>
    </row>
    <row r="2912" spans="1:2" x14ac:dyDescent="0.35">
      <c r="A2912" s="4">
        <v>955300</v>
      </c>
      <c r="B2912" s="5" t="s">
        <v>3042</v>
      </c>
    </row>
    <row r="2913" spans="1:2" x14ac:dyDescent="0.35">
      <c r="A2913" s="4">
        <v>955400</v>
      </c>
      <c r="B2913" s="5" t="s">
        <v>3043</v>
      </c>
    </row>
    <row r="2914" spans="1:2" x14ac:dyDescent="0.35">
      <c r="A2914" s="4">
        <v>955500</v>
      </c>
      <c r="B2914" s="5" t="s">
        <v>3044</v>
      </c>
    </row>
    <row r="2915" spans="1:2" x14ac:dyDescent="0.35">
      <c r="A2915" s="4">
        <v>955600</v>
      </c>
      <c r="B2915" s="5" t="s">
        <v>3045</v>
      </c>
    </row>
    <row r="2916" spans="1:2" x14ac:dyDescent="0.35">
      <c r="A2916" s="4">
        <v>955900</v>
      </c>
      <c r="B2916" s="5" t="s">
        <v>3046</v>
      </c>
    </row>
    <row r="2917" spans="1:2" x14ac:dyDescent="0.35">
      <c r="A2917" s="4">
        <v>956200</v>
      </c>
      <c r="B2917" s="5" t="s">
        <v>3047</v>
      </c>
    </row>
    <row r="2918" spans="1:2" x14ac:dyDescent="0.35">
      <c r="A2918" s="4">
        <v>956300</v>
      </c>
      <c r="B2918" s="5" t="s">
        <v>3048</v>
      </c>
    </row>
    <row r="2919" spans="1:2" x14ac:dyDescent="0.35">
      <c r="A2919" s="4">
        <v>956400</v>
      </c>
      <c r="B2919" s="5" t="s">
        <v>3049</v>
      </c>
    </row>
    <row r="2920" spans="1:2" x14ac:dyDescent="0.35">
      <c r="A2920" s="4">
        <v>956500</v>
      </c>
      <c r="B2920" s="5" t="s">
        <v>3047</v>
      </c>
    </row>
    <row r="2921" spans="1:2" x14ac:dyDescent="0.35">
      <c r="A2921" s="4">
        <v>956600</v>
      </c>
      <c r="B2921" s="5" t="s">
        <v>3050</v>
      </c>
    </row>
    <row r="2922" spans="1:2" x14ac:dyDescent="0.35">
      <c r="A2922" s="4">
        <v>956900</v>
      </c>
      <c r="B2922" s="5" t="s">
        <v>3051</v>
      </c>
    </row>
    <row r="2923" spans="1:2" x14ac:dyDescent="0.35">
      <c r="A2923" s="4">
        <v>957100</v>
      </c>
      <c r="B2923" s="5" t="s">
        <v>3052</v>
      </c>
    </row>
    <row r="2924" spans="1:2" x14ac:dyDescent="0.35">
      <c r="A2924" s="4">
        <v>957200</v>
      </c>
      <c r="B2924" s="5" t="s">
        <v>3053</v>
      </c>
    </row>
    <row r="2925" spans="1:2" x14ac:dyDescent="0.35">
      <c r="A2925" s="4">
        <v>957300</v>
      </c>
      <c r="B2925" s="5" t="s">
        <v>3054</v>
      </c>
    </row>
    <row r="2926" spans="1:2" x14ac:dyDescent="0.35">
      <c r="A2926" s="4">
        <v>957400</v>
      </c>
      <c r="B2926" s="5" t="s">
        <v>3055</v>
      </c>
    </row>
    <row r="2927" spans="1:2" x14ac:dyDescent="0.35">
      <c r="A2927" s="4">
        <v>957500</v>
      </c>
      <c r="B2927" s="5" t="s">
        <v>3056</v>
      </c>
    </row>
    <row r="2928" spans="1:2" x14ac:dyDescent="0.35">
      <c r="A2928" s="4">
        <v>957600</v>
      </c>
      <c r="B2928" s="5" t="s">
        <v>3057</v>
      </c>
    </row>
    <row r="2929" spans="1:2" x14ac:dyDescent="0.35">
      <c r="A2929" s="4">
        <v>957900</v>
      </c>
      <c r="B2929" s="5" t="s">
        <v>3058</v>
      </c>
    </row>
    <row r="2930" spans="1:2" x14ac:dyDescent="0.35">
      <c r="A2930" s="4">
        <v>959150</v>
      </c>
      <c r="B2930" s="5" t="s">
        <v>3059</v>
      </c>
    </row>
    <row r="2931" spans="1:2" x14ac:dyDescent="0.35">
      <c r="A2931" s="4">
        <v>959200</v>
      </c>
      <c r="B2931" s="5" t="s">
        <v>3060</v>
      </c>
    </row>
    <row r="2932" spans="1:2" x14ac:dyDescent="0.35">
      <c r="A2932" s="4">
        <v>959250</v>
      </c>
      <c r="B2932" s="5" t="s">
        <v>3061</v>
      </c>
    </row>
    <row r="2933" spans="1:2" x14ac:dyDescent="0.35">
      <c r="A2933" s="4">
        <v>959300</v>
      </c>
      <c r="B2933" s="5" t="s">
        <v>3062</v>
      </c>
    </row>
    <row r="2934" spans="1:2" x14ac:dyDescent="0.35">
      <c r="A2934" s="4">
        <v>959350</v>
      </c>
      <c r="B2934" s="5" t="s">
        <v>3063</v>
      </c>
    </row>
    <row r="2935" spans="1:2" x14ac:dyDescent="0.35">
      <c r="A2935" s="4">
        <v>959400</v>
      </c>
      <c r="B2935" s="5" t="s">
        <v>3064</v>
      </c>
    </row>
    <row r="2936" spans="1:2" x14ac:dyDescent="0.35">
      <c r="A2936" s="4">
        <v>959450</v>
      </c>
      <c r="B2936" s="5" t="s">
        <v>3065</v>
      </c>
    </row>
    <row r="2937" spans="1:2" x14ac:dyDescent="0.35">
      <c r="A2937" s="4">
        <v>959500</v>
      </c>
      <c r="B2937" s="5" t="s">
        <v>3066</v>
      </c>
    </row>
    <row r="2938" spans="1:2" x14ac:dyDescent="0.35">
      <c r="A2938" s="4">
        <v>959550</v>
      </c>
      <c r="B2938" s="5" t="s">
        <v>3067</v>
      </c>
    </row>
    <row r="2939" spans="1:2" x14ac:dyDescent="0.35">
      <c r="A2939" s="4">
        <v>959900</v>
      </c>
      <c r="B2939" s="5" t="s">
        <v>3068</v>
      </c>
    </row>
    <row r="2940" spans="1:2" x14ac:dyDescent="0.35">
      <c r="A2940" s="4">
        <v>960000</v>
      </c>
      <c r="B2940" s="5" t="s">
        <v>3069</v>
      </c>
    </row>
    <row r="2941" spans="1:2" x14ac:dyDescent="0.35">
      <c r="A2941" s="4">
        <v>961000</v>
      </c>
      <c r="B2941" s="5" t="s">
        <v>3070</v>
      </c>
    </row>
    <row r="2942" spans="1:2" x14ac:dyDescent="0.35">
      <c r="A2942" s="4">
        <v>961100</v>
      </c>
      <c r="B2942" s="5" t="s">
        <v>3071</v>
      </c>
    </row>
    <row r="2943" spans="1:2" x14ac:dyDescent="0.35">
      <c r="A2943" s="4">
        <v>961200</v>
      </c>
      <c r="B2943" s="5" t="s">
        <v>3072</v>
      </c>
    </row>
    <row r="2944" spans="1:2" x14ac:dyDescent="0.35">
      <c r="A2944" s="4">
        <v>961300</v>
      </c>
      <c r="B2944" s="5" t="s">
        <v>3073</v>
      </c>
    </row>
    <row r="2945" spans="1:2" x14ac:dyDescent="0.35">
      <c r="A2945" s="4">
        <v>961400</v>
      </c>
      <c r="B2945" s="5" t="s">
        <v>3074</v>
      </c>
    </row>
    <row r="2946" spans="1:2" x14ac:dyDescent="0.35">
      <c r="A2946" s="4">
        <v>961500</v>
      </c>
      <c r="B2946" s="5" t="s">
        <v>3075</v>
      </c>
    </row>
    <row r="2947" spans="1:2" x14ac:dyDescent="0.35">
      <c r="A2947" s="4">
        <v>961600</v>
      </c>
      <c r="B2947" s="5" t="s">
        <v>3076</v>
      </c>
    </row>
    <row r="2948" spans="1:2" x14ac:dyDescent="0.35">
      <c r="A2948" s="4">
        <v>961700</v>
      </c>
      <c r="B2948" s="5" t="s">
        <v>3077</v>
      </c>
    </row>
    <row r="2949" spans="1:2" x14ac:dyDescent="0.35">
      <c r="A2949" s="4">
        <v>961800</v>
      </c>
      <c r="B2949" s="5" t="s">
        <v>3078</v>
      </c>
    </row>
    <row r="2950" spans="1:2" x14ac:dyDescent="0.35">
      <c r="A2950" s="4">
        <v>961900</v>
      </c>
      <c r="B2950" s="5" t="s">
        <v>3079</v>
      </c>
    </row>
    <row r="2951" spans="1:2" x14ac:dyDescent="0.35">
      <c r="A2951" s="4">
        <v>969100</v>
      </c>
      <c r="B2951" s="5" t="s">
        <v>3080</v>
      </c>
    </row>
    <row r="2952" spans="1:2" x14ac:dyDescent="0.35">
      <c r="A2952" s="4">
        <v>969200</v>
      </c>
      <c r="B2952" s="5" t="s">
        <v>3081</v>
      </c>
    </row>
    <row r="2953" spans="1:2" x14ac:dyDescent="0.35">
      <c r="A2953" s="4">
        <v>969300</v>
      </c>
      <c r="B2953" s="5" t="s">
        <v>3082</v>
      </c>
    </row>
    <row r="2954" spans="1:2" x14ac:dyDescent="0.35">
      <c r="A2954" s="4">
        <v>969400</v>
      </c>
      <c r="B2954" s="5" t="s">
        <v>3083</v>
      </c>
    </row>
    <row r="2955" spans="1:2" x14ac:dyDescent="0.35">
      <c r="A2955" s="4">
        <v>969500</v>
      </c>
      <c r="B2955" s="5" t="s">
        <v>3084</v>
      </c>
    </row>
    <row r="2956" spans="1:2" x14ac:dyDescent="0.35">
      <c r="A2956" s="4">
        <v>969600</v>
      </c>
      <c r="B2956" s="5" t="s">
        <v>3085</v>
      </c>
    </row>
    <row r="2957" spans="1:2" x14ac:dyDescent="0.35">
      <c r="A2957" s="4">
        <v>969900</v>
      </c>
      <c r="B2957" s="5" t="s">
        <v>3086</v>
      </c>
    </row>
    <row r="2958" spans="1:2" x14ac:dyDescent="0.35">
      <c r="A2958" s="4">
        <v>971200</v>
      </c>
      <c r="B2958" s="5" t="s">
        <v>3087</v>
      </c>
    </row>
    <row r="2959" spans="1:2" x14ac:dyDescent="0.35">
      <c r="A2959" s="4">
        <v>971300</v>
      </c>
      <c r="B2959" s="5" t="s">
        <v>3088</v>
      </c>
    </row>
    <row r="2960" spans="1:2" x14ac:dyDescent="0.35">
      <c r="A2960" s="4">
        <v>971400</v>
      </c>
      <c r="B2960" s="5" t="s">
        <v>3089</v>
      </c>
    </row>
    <row r="2961" spans="1:2" x14ac:dyDescent="0.35">
      <c r="A2961" s="4">
        <v>971410</v>
      </c>
      <c r="B2961" s="5" t="s">
        <v>3090</v>
      </c>
    </row>
    <row r="2962" spans="1:2" x14ac:dyDescent="0.35">
      <c r="A2962" s="4">
        <v>971420</v>
      </c>
      <c r="B2962" s="5" t="s">
        <v>3091</v>
      </c>
    </row>
    <row r="2963" spans="1:2" x14ac:dyDescent="0.35">
      <c r="A2963" s="4">
        <v>971500</v>
      </c>
      <c r="B2963" s="5" t="s">
        <v>3092</v>
      </c>
    </row>
    <row r="2964" spans="1:2" x14ac:dyDescent="0.35">
      <c r="A2964" s="4">
        <v>971600</v>
      </c>
      <c r="B2964" s="5" t="s">
        <v>3093</v>
      </c>
    </row>
    <row r="2965" spans="1:2" x14ac:dyDescent="0.35">
      <c r="A2965" s="4">
        <v>971610</v>
      </c>
      <c r="B2965" s="5" t="s">
        <v>3094</v>
      </c>
    </row>
    <row r="2966" spans="1:2" x14ac:dyDescent="0.35">
      <c r="A2966" s="4">
        <v>971700</v>
      </c>
      <c r="B2966" s="5" t="s">
        <v>3095</v>
      </c>
    </row>
    <row r="2967" spans="1:2" x14ac:dyDescent="0.35">
      <c r="A2967" s="4">
        <v>971900</v>
      </c>
      <c r="B2967" s="5" t="s">
        <v>3096</v>
      </c>
    </row>
    <row r="2968" spans="1:2" x14ac:dyDescent="0.35">
      <c r="A2968" s="4">
        <v>972100</v>
      </c>
      <c r="B2968" s="5" t="s">
        <v>3097</v>
      </c>
    </row>
    <row r="2969" spans="1:2" x14ac:dyDescent="0.35">
      <c r="A2969" s="4">
        <v>972200</v>
      </c>
      <c r="B2969" s="5" t="s">
        <v>3098</v>
      </c>
    </row>
    <row r="2970" spans="1:2" x14ac:dyDescent="0.35">
      <c r="A2970" s="4">
        <v>972400</v>
      </c>
      <c r="B2970" s="5" t="s">
        <v>3099</v>
      </c>
    </row>
    <row r="2971" spans="1:2" x14ac:dyDescent="0.35">
      <c r="A2971" s="4">
        <v>972500</v>
      </c>
      <c r="B2971" s="5" t="s">
        <v>3100</v>
      </c>
    </row>
    <row r="2972" spans="1:2" x14ac:dyDescent="0.35">
      <c r="A2972" s="4">
        <v>972900</v>
      </c>
      <c r="B2972" s="5" t="s">
        <v>3101</v>
      </c>
    </row>
    <row r="2973" spans="1:2" x14ac:dyDescent="0.35">
      <c r="A2973" s="4">
        <v>973200</v>
      </c>
      <c r="B2973" s="5" t="s">
        <v>3102</v>
      </c>
    </row>
    <row r="2974" spans="1:2" x14ac:dyDescent="0.35">
      <c r="A2974" s="4">
        <v>973300</v>
      </c>
      <c r="B2974" s="5" t="s">
        <v>3103</v>
      </c>
    </row>
    <row r="2975" spans="1:2" x14ac:dyDescent="0.35">
      <c r="A2975" s="4">
        <v>973400</v>
      </c>
      <c r="B2975" s="5" t="s">
        <v>3104</v>
      </c>
    </row>
    <row r="2976" spans="1:2" x14ac:dyDescent="0.35">
      <c r="A2976" s="4">
        <v>973500</v>
      </c>
      <c r="B2976" s="5" t="s">
        <v>3105</v>
      </c>
    </row>
    <row r="2977" spans="1:2" x14ac:dyDescent="0.35">
      <c r="A2977" s="4">
        <v>973600</v>
      </c>
      <c r="B2977" s="5" t="s">
        <v>3106</v>
      </c>
    </row>
    <row r="2978" spans="1:2" x14ac:dyDescent="0.35">
      <c r="A2978" s="4">
        <v>973700</v>
      </c>
      <c r="B2978" s="5" t="s">
        <v>3107</v>
      </c>
    </row>
    <row r="2979" spans="1:2" x14ac:dyDescent="0.35">
      <c r="A2979" s="4">
        <v>973900</v>
      </c>
      <c r="B2979" s="5" t="s">
        <v>3108</v>
      </c>
    </row>
    <row r="2980" spans="1:2" x14ac:dyDescent="0.35">
      <c r="A2980" s="4">
        <v>974150</v>
      </c>
      <c r="B2980" s="5" t="s">
        <v>3109</v>
      </c>
    </row>
    <row r="2981" spans="1:2" x14ac:dyDescent="0.35">
      <c r="A2981" s="4">
        <v>974200</v>
      </c>
      <c r="B2981" s="5" t="s">
        <v>3110</v>
      </c>
    </row>
    <row r="2982" spans="1:2" x14ac:dyDescent="0.35">
      <c r="A2982" s="4">
        <v>974250</v>
      </c>
      <c r="B2982" s="5" t="s">
        <v>3111</v>
      </c>
    </row>
    <row r="2983" spans="1:2" x14ac:dyDescent="0.35">
      <c r="A2983" s="4">
        <v>974300</v>
      </c>
      <c r="B2983" s="5" t="s">
        <v>3112</v>
      </c>
    </row>
    <row r="2984" spans="1:2" x14ac:dyDescent="0.35">
      <c r="A2984" s="4">
        <v>974350</v>
      </c>
      <c r="B2984" s="5" t="s">
        <v>3113</v>
      </c>
    </row>
    <row r="2985" spans="1:2" x14ac:dyDescent="0.35">
      <c r="A2985" s="4">
        <v>974400</v>
      </c>
      <c r="B2985" s="5" t="s">
        <v>3114</v>
      </c>
    </row>
    <row r="2986" spans="1:2" x14ac:dyDescent="0.35">
      <c r="A2986" s="4">
        <v>974450</v>
      </c>
      <c r="B2986" s="5" t="s">
        <v>3115</v>
      </c>
    </row>
    <row r="2987" spans="1:2" x14ac:dyDescent="0.35">
      <c r="A2987" s="4">
        <v>974500</v>
      </c>
      <c r="B2987" s="5" t="s">
        <v>3116</v>
      </c>
    </row>
    <row r="2988" spans="1:2" x14ac:dyDescent="0.35">
      <c r="A2988" s="4">
        <v>974550</v>
      </c>
      <c r="B2988" s="5" t="s">
        <v>3117</v>
      </c>
    </row>
    <row r="2989" spans="1:2" x14ac:dyDescent="0.35">
      <c r="A2989" s="4">
        <v>974600</v>
      </c>
      <c r="B2989" s="5" t="s">
        <v>3118</v>
      </c>
    </row>
    <row r="2990" spans="1:2" x14ac:dyDescent="0.35">
      <c r="A2990" s="4">
        <v>974650</v>
      </c>
      <c r="B2990" s="5" t="s">
        <v>3119</v>
      </c>
    </row>
    <row r="2991" spans="1:2" x14ac:dyDescent="0.35">
      <c r="A2991" s="4">
        <v>974700</v>
      </c>
      <c r="B2991" s="5" t="s">
        <v>3120</v>
      </c>
    </row>
    <row r="2992" spans="1:2" x14ac:dyDescent="0.35">
      <c r="A2992" s="4">
        <v>974750</v>
      </c>
      <c r="B2992" s="5" t="s">
        <v>3121</v>
      </c>
    </row>
    <row r="2993" spans="1:2" x14ac:dyDescent="0.35">
      <c r="A2993" s="4">
        <v>974900</v>
      </c>
      <c r="B2993" s="5" t="s">
        <v>3122</v>
      </c>
    </row>
    <row r="2994" spans="1:2" x14ac:dyDescent="0.35">
      <c r="A2994" s="4">
        <v>979200</v>
      </c>
      <c r="B2994" s="5" t="s">
        <v>3123</v>
      </c>
    </row>
    <row r="2995" spans="1:2" x14ac:dyDescent="0.35">
      <c r="A2995" s="4">
        <v>979900</v>
      </c>
      <c r="B2995" s="5" t="s">
        <v>3124</v>
      </c>
    </row>
    <row r="2996" spans="1:2" x14ac:dyDescent="0.35">
      <c r="A2996" s="4">
        <v>981200</v>
      </c>
      <c r="B2996" s="5" t="s">
        <v>3125</v>
      </c>
    </row>
    <row r="2997" spans="1:2" x14ac:dyDescent="0.35">
      <c r="A2997" s="4">
        <v>981300</v>
      </c>
      <c r="B2997" s="5" t="s">
        <v>3126</v>
      </c>
    </row>
    <row r="2998" spans="1:2" x14ac:dyDescent="0.35">
      <c r="A2998" s="4">
        <v>981400</v>
      </c>
      <c r="B2998" s="5" t="s">
        <v>3127</v>
      </c>
    </row>
    <row r="2999" spans="1:2" x14ac:dyDescent="0.35">
      <c r="A2999" s="4">
        <v>981500</v>
      </c>
      <c r="B2999" s="5" t="s">
        <v>3128</v>
      </c>
    </row>
    <row r="3000" spans="1:2" x14ac:dyDescent="0.35">
      <c r="A3000" s="4">
        <v>981600</v>
      </c>
      <c r="B3000" s="5" t="s">
        <v>3129</v>
      </c>
    </row>
    <row r="3001" spans="1:2" x14ac:dyDescent="0.35">
      <c r="A3001" s="4">
        <v>981700</v>
      </c>
      <c r="B3001" s="5" t="s">
        <v>3130</v>
      </c>
    </row>
    <row r="3002" spans="1:2" x14ac:dyDescent="0.35">
      <c r="A3002" s="4">
        <v>981710</v>
      </c>
      <c r="B3002" s="5" t="s">
        <v>3131</v>
      </c>
    </row>
    <row r="3003" spans="1:2" x14ac:dyDescent="0.35">
      <c r="A3003" s="4">
        <v>981800</v>
      </c>
      <c r="B3003" s="5" t="s">
        <v>3132</v>
      </c>
    </row>
    <row r="3004" spans="1:2" x14ac:dyDescent="0.35">
      <c r="A3004" s="4">
        <v>981810</v>
      </c>
      <c r="B3004" s="5" t="s">
        <v>3133</v>
      </c>
    </row>
    <row r="3005" spans="1:2" x14ac:dyDescent="0.35">
      <c r="A3005" s="4">
        <v>981900</v>
      </c>
      <c r="B3005" s="5" t="s">
        <v>3134</v>
      </c>
    </row>
    <row r="3006" spans="1:2" x14ac:dyDescent="0.35">
      <c r="A3006" s="4">
        <v>982200</v>
      </c>
      <c r="B3006" s="5" t="s">
        <v>3135</v>
      </c>
    </row>
    <row r="3007" spans="1:2" x14ac:dyDescent="0.35">
      <c r="A3007" s="4">
        <v>982300</v>
      </c>
      <c r="B3007" s="5" t="s">
        <v>3136</v>
      </c>
    </row>
    <row r="3008" spans="1:2" x14ac:dyDescent="0.35">
      <c r="A3008" s="4">
        <v>982400</v>
      </c>
      <c r="B3008" s="5" t="s">
        <v>3137</v>
      </c>
    </row>
    <row r="3009" spans="1:2" x14ac:dyDescent="0.35">
      <c r="A3009" s="4">
        <v>982500</v>
      </c>
      <c r="B3009" s="5" t="s">
        <v>3138</v>
      </c>
    </row>
    <row r="3010" spans="1:2" x14ac:dyDescent="0.35">
      <c r="A3010" s="4">
        <v>982900</v>
      </c>
      <c r="B3010" s="5" t="s">
        <v>3139</v>
      </c>
    </row>
    <row r="3011" spans="1:2" x14ac:dyDescent="0.35">
      <c r="A3011" s="4">
        <v>983200</v>
      </c>
      <c r="B3011" s="5" t="s">
        <v>3140</v>
      </c>
    </row>
    <row r="3012" spans="1:2" x14ac:dyDescent="0.35">
      <c r="A3012" s="4">
        <v>983300</v>
      </c>
      <c r="B3012" s="5" t="s">
        <v>3141</v>
      </c>
    </row>
    <row r="3013" spans="1:2" x14ac:dyDescent="0.35">
      <c r="A3013" s="4">
        <v>983400</v>
      </c>
      <c r="B3013" s="5" t="s">
        <v>3142</v>
      </c>
    </row>
    <row r="3014" spans="1:2" x14ac:dyDescent="0.35">
      <c r="A3014" s="4">
        <v>983500</v>
      </c>
      <c r="B3014" s="5" t="s">
        <v>3143</v>
      </c>
    </row>
    <row r="3015" spans="1:2" x14ac:dyDescent="0.35">
      <c r="A3015" s="4">
        <v>983900</v>
      </c>
      <c r="B3015" s="5" t="s">
        <v>3144</v>
      </c>
    </row>
    <row r="3016" spans="1:2" x14ac:dyDescent="0.35">
      <c r="A3016" s="4">
        <v>984200</v>
      </c>
      <c r="B3016" s="5" t="s">
        <v>3145</v>
      </c>
    </row>
    <row r="3017" spans="1:2" x14ac:dyDescent="0.35">
      <c r="A3017" s="4">
        <v>984300</v>
      </c>
      <c r="B3017" s="5" t="s">
        <v>3146</v>
      </c>
    </row>
    <row r="3018" spans="1:2" x14ac:dyDescent="0.35">
      <c r="A3018" s="4">
        <v>984400</v>
      </c>
      <c r="B3018" s="5" t="s">
        <v>3147</v>
      </c>
    </row>
    <row r="3019" spans="1:2" x14ac:dyDescent="0.35">
      <c r="A3019" s="4">
        <v>985000</v>
      </c>
      <c r="B3019" s="5" t="s">
        <v>3148</v>
      </c>
    </row>
    <row r="3020" spans="1:2" x14ac:dyDescent="0.35">
      <c r="A3020" s="4">
        <v>985100</v>
      </c>
      <c r="B3020" s="5" t="s">
        <v>3149</v>
      </c>
    </row>
    <row r="3021" spans="1:2" x14ac:dyDescent="0.35">
      <c r="A3021" s="4">
        <v>985110</v>
      </c>
      <c r="B3021" s="5" t="s">
        <v>3150</v>
      </c>
    </row>
    <row r="3022" spans="1:2" x14ac:dyDescent="0.35">
      <c r="A3022" s="4">
        <v>985120</v>
      </c>
      <c r="B3022" s="5" t="s">
        <v>3151</v>
      </c>
    </row>
    <row r="3023" spans="1:2" x14ac:dyDescent="0.35">
      <c r="A3023" s="4">
        <v>985130</v>
      </c>
      <c r="B3023" s="5" t="s">
        <v>3152</v>
      </c>
    </row>
    <row r="3024" spans="1:2" x14ac:dyDescent="0.35">
      <c r="A3024" s="4">
        <v>985200</v>
      </c>
      <c r="B3024" s="5" t="s">
        <v>3153</v>
      </c>
    </row>
    <row r="3025" spans="1:2" x14ac:dyDescent="0.35">
      <c r="A3025" s="4">
        <v>985300</v>
      </c>
      <c r="B3025" s="5" t="s">
        <v>3154</v>
      </c>
    </row>
    <row r="3026" spans="1:2" x14ac:dyDescent="0.35">
      <c r="A3026" s="4">
        <v>985400</v>
      </c>
      <c r="B3026" s="5" t="s">
        <v>3155</v>
      </c>
    </row>
    <row r="3027" spans="1:2" x14ac:dyDescent="0.35">
      <c r="A3027" s="4">
        <v>985500</v>
      </c>
      <c r="B3027" s="5" t="s">
        <v>3156</v>
      </c>
    </row>
    <row r="3028" spans="1:2" x14ac:dyDescent="0.35">
      <c r="A3028" s="4">
        <v>985600</v>
      </c>
      <c r="B3028" s="5" t="s">
        <v>3157</v>
      </c>
    </row>
    <row r="3029" spans="1:2" x14ac:dyDescent="0.35">
      <c r="A3029" s="4">
        <v>985700</v>
      </c>
      <c r="B3029" s="5" t="s">
        <v>3158</v>
      </c>
    </row>
    <row r="3030" spans="1:2" x14ac:dyDescent="0.35">
      <c r="A3030" s="4">
        <v>985800</v>
      </c>
      <c r="B3030" s="5" t="s">
        <v>3159</v>
      </c>
    </row>
    <row r="3031" spans="1:2" x14ac:dyDescent="0.35">
      <c r="A3031" s="4">
        <v>985810</v>
      </c>
      <c r="B3031" s="5" t="s">
        <v>3160</v>
      </c>
    </row>
    <row r="3032" spans="1:2" x14ac:dyDescent="0.35">
      <c r="A3032" s="4">
        <v>985820</v>
      </c>
      <c r="B3032" s="5" t="s">
        <v>3161</v>
      </c>
    </row>
    <row r="3033" spans="1:2" x14ac:dyDescent="0.35">
      <c r="A3033" s="4">
        <v>985830</v>
      </c>
      <c r="B3033" s="5" t="s">
        <v>3162</v>
      </c>
    </row>
    <row r="3034" spans="1:2" x14ac:dyDescent="0.35">
      <c r="A3034" s="4">
        <v>985900</v>
      </c>
      <c r="B3034" s="5" t="s">
        <v>3163</v>
      </c>
    </row>
    <row r="3035" spans="1:2" x14ac:dyDescent="0.35">
      <c r="A3035" s="4">
        <v>986200</v>
      </c>
      <c r="B3035" s="5" t="s">
        <v>3164</v>
      </c>
    </row>
    <row r="3036" spans="1:2" x14ac:dyDescent="0.35">
      <c r="A3036" s="4">
        <v>986300</v>
      </c>
      <c r="B3036" s="5" t="s">
        <v>3165</v>
      </c>
    </row>
    <row r="3037" spans="1:2" x14ac:dyDescent="0.35">
      <c r="A3037" s="4">
        <v>986400</v>
      </c>
      <c r="B3037" s="5" t="s">
        <v>3166</v>
      </c>
    </row>
    <row r="3038" spans="1:2" x14ac:dyDescent="0.35">
      <c r="A3038" s="4">
        <v>986500</v>
      </c>
      <c r="B3038" s="5" t="s">
        <v>3167</v>
      </c>
    </row>
    <row r="3039" spans="1:2" x14ac:dyDescent="0.35">
      <c r="A3039" s="4">
        <v>986600</v>
      </c>
      <c r="B3039" s="5" t="s">
        <v>3168</v>
      </c>
    </row>
    <row r="3040" spans="1:2" x14ac:dyDescent="0.35">
      <c r="A3040" s="4">
        <v>986900</v>
      </c>
      <c r="B3040" s="5" t="s">
        <v>3169</v>
      </c>
    </row>
    <row r="3041" spans="1:2" x14ac:dyDescent="0.35">
      <c r="A3041" s="4">
        <v>989200</v>
      </c>
      <c r="B3041" s="5" t="s">
        <v>3170</v>
      </c>
    </row>
    <row r="3042" spans="1:2" x14ac:dyDescent="0.35">
      <c r="A3042" s="4">
        <v>989300</v>
      </c>
      <c r="B3042" s="5" t="s">
        <v>3171</v>
      </c>
    </row>
    <row r="3043" spans="1:2" x14ac:dyDescent="0.35">
      <c r="A3043" s="4">
        <v>989400</v>
      </c>
      <c r="B3043" s="5" t="s">
        <v>3172</v>
      </c>
    </row>
    <row r="3044" spans="1:2" x14ac:dyDescent="0.35">
      <c r="A3044" s="4">
        <v>989500</v>
      </c>
      <c r="B3044" s="5" t="s">
        <v>3173</v>
      </c>
    </row>
    <row r="3045" spans="1:2" x14ac:dyDescent="0.35">
      <c r="A3045" s="4">
        <v>989600</v>
      </c>
      <c r="B3045" s="5" t="s">
        <v>3174</v>
      </c>
    </row>
    <row r="3046" spans="1:2" x14ac:dyDescent="0.35">
      <c r="A3046" s="4">
        <v>989700</v>
      </c>
      <c r="B3046" s="5" t="s">
        <v>3175</v>
      </c>
    </row>
    <row r="3047" spans="1:2" x14ac:dyDescent="0.35">
      <c r="A3047" s="4">
        <v>989800</v>
      </c>
      <c r="B3047" s="5" t="s">
        <v>3176</v>
      </c>
    </row>
    <row r="3048" spans="1:2" x14ac:dyDescent="0.35">
      <c r="A3048" s="4">
        <v>989900</v>
      </c>
      <c r="B3048" s="5" t="s">
        <v>3177</v>
      </c>
    </row>
    <row r="3049" spans="1:2" x14ac:dyDescent="0.35">
      <c r="A3049" s="4">
        <v>999200</v>
      </c>
      <c r="B3049" s="5" t="s">
        <v>3178</v>
      </c>
    </row>
    <row r="3050" spans="1:2" x14ac:dyDescent="0.35">
      <c r="A3050" s="4">
        <v>999300</v>
      </c>
      <c r="B3050" s="5" t="s">
        <v>3179</v>
      </c>
    </row>
    <row r="3051" spans="1:2" x14ac:dyDescent="0.35">
      <c r="A3051" s="4">
        <v>999400</v>
      </c>
      <c r="B3051" s="5" t="s">
        <v>3180</v>
      </c>
    </row>
    <row r="3052" spans="1:2" x14ac:dyDescent="0.35">
      <c r="A3052" s="4">
        <v>999500</v>
      </c>
      <c r="B3052" s="5" t="s">
        <v>3181</v>
      </c>
    </row>
    <row r="3053" spans="1:2" x14ac:dyDescent="0.35">
      <c r="A3053" s="4">
        <v>999999</v>
      </c>
      <c r="B3053" s="5" t="s">
        <v>3182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Lists</vt:lpstr>
      <vt:lpstr>SI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Moustafa</cp:lastModifiedBy>
  <dcterms:created xsi:type="dcterms:W3CDTF">2025-12-30T23:19:49Z</dcterms:created>
  <dcterms:modified xsi:type="dcterms:W3CDTF">2026-01-01T13:08:28Z</dcterms:modified>
</cp:coreProperties>
</file>